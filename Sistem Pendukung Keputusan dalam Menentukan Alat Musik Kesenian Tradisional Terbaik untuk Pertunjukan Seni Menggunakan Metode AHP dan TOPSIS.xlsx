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K\"/>
    </mc:Choice>
  </mc:AlternateContent>
  <xr:revisionPtr revIDLastSave="0" documentId="13_ncr:1_{B50658D1-6B1A-4D67-9185-7383A6C7CB98}" xr6:coauthVersionLast="47" xr6:coauthVersionMax="47" xr10:uidLastSave="{00000000-0000-0000-0000-000000000000}"/>
  <bookViews>
    <workbookView xWindow="2115" yWindow="2115" windowWidth="15375" windowHeight="8325" activeTab="1" xr2:uid="{CA0E57B5-A974-4A85-890E-C8029C62818C}"/>
  </bookViews>
  <sheets>
    <sheet name="Dataset" sheetId="1" r:id="rId1"/>
    <sheet name="Topsis" sheetId="3" r:id="rId2"/>
    <sheet name="AHP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3" l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" i="3"/>
  <c r="AD11" i="3"/>
  <c r="AD12" i="3"/>
  <c r="AD13" i="3"/>
  <c r="AD14" i="3"/>
  <c r="AD15" i="3"/>
  <c r="AD16" i="3"/>
  <c r="AD17" i="3"/>
  <c r="AD18" i="3"/>
  <c r="AD19" i="3"/>
  <c r="AD20" i="3"/>
  <c r="AD21" i="3"/>
  <c r="AD3" i="3"/>
  <c r="AD4" i="3"/>
  <c r="AD5" i="3"/>
  <c r="AD6" i="3"/>
  <c r="AD7" i="3"/>
  <c r="AD8" i="3"/>
  <c r="AD9" i="3"/>
  <c r="AD10" i="3"/>
  <c r="AD2" i="3"/>
  <c r="AC11" i="3"/>
  <c r="AC12" i="3"/>
  <c r="AC13" i="3"/>
  <c r="AC14" i="3"/>
  <c r="AC15" i="3"/>
  <c r="AC16" i="3"/>
  <c r="AC17" i="3"/>
  <c r="AC18" i="3"/>
  <c r="AC19" i="3"/>
  <c r="AC20" i="3"/>
  <c r="AC21" i="3"/>
  <c r="AC3" i="3"/>
  <c r="AC4" i="3"/>
  <c r="AC5" i="3"/>
  <c r="AC6" i="3"/>
  <c r="AC7" i="3"/>
  <c r="AC8" i="3"/>
  <c r="AC9" i="3"/>
  <c r="AC10" i="3"/>
  <c r="AC2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" i="3"/>
  <c r="W8" i="3"/>
  <c r="W6" i="3"/>
  <c r="W5" i="3"/>
  <c r="W3" i="3"/>
  <c r="W2" i="3"/>
  <c r="W4" i="3"/>
  <c r="W7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Q28" i="3"/>
  <c r="Q27" i="3"/>
  <c r="Q26" i="3"/>
  <c r="Q25" i="3"/>
  <c r="Q24" i="3"/>
  <c r="P28" i="3"/>
  <c r="P27" i="3"/>
  <c r="P26" i="3"/>
  <c r="P25" i="3"/>
  <c r="P24" i="3"/>
  <c r="M21" i="3"/>
  <c r="S21" i="3" s="1"/>
  <c r="M3" i="3"/>
  <c r="S3" i="3" s="1"/>
  <c r="M4" i="3"/>
  <c r="S4" i="3" s="1"/>
  <c r="M5" i="3"/>
  <c r="S5" i="3" s="1"/>
  <c r="M6" i="3"/>
  <c r="S6" i="3" s="1"/>
  <c r="M7" i="3"/>
  <c r="S7" i="3" s="1"/>
  <c r="M8" i="3"/>
  <c r="S8" i="3" s="1"/>
  <c r="M9" i="3"/>
  <c r="S9" i="3" s="1"/>
  <c r="M10" i="3"/>
  <c r="S10" i="3" s="1"/>
  <c r="M11" i="3"/>
  <c r="S11" i="3" s="1"/>
  <c r="M12" i="3"/>
  <c r="S12" i="3" s="1"/>
  <c r="M13" i="3"/>
  <c r="S13" i="3" s="1"/>
  <c r="M14" i="3"/>
  <c r="S14" i="3" s="1"/>
  <c r="M15" i="3"/>
  <c r="S15" i="3" s="1"/>
  <c r="M16" i="3"/>
  <c r="S16" i="3" s="1"/>
  <c r="M17" i="3"/>
  <c r="S17" i="3" s="1"/>
  <c r="M18" i="3"/>
  <c r="S18" i="3" s="1"/>
  <c r="M19" i="3"/>
  <c r="S19" i="3" s="1"/>
  <c r="M20" i="3"/>
  <c r="L3" i="3"/>
  <c r="R3" i="3" s="1"/>
  <c r="L4" i="3"/>
  <c r="R4" i="3" s="1"/>
  <c r="L5" i="3"/>
  <c r="R5" i="3" s="1"/>
  <c r="L6" i="3"/>
  <c r="R6" i="3" s="1"/>
  <c r="L7" i="3"/>
  <c r="R7" i="3" s="1"/>
  <c r="L8" i="3"/>
  <c r="R8" i="3" s="1"/>
  <c r="L9" i="3"/>
  <c r="R9" i="3" s="1"/>
  <c r="L10" i="3"/>
  <c r="R10" i="3" s="1"/>
  <c r="L11" i="3"/>
  <c r="R11" i="3" s="1"/>
  <c r="L12" i="3"/>
  <c r="R12" i="3" s="1"/>
  <c r="L13" i="3"/>
  <c r="R13" i="3" s="1"/>
  <c r="L14" i="3"/>
  <c r="R14" i="3" s="1"/>
  <c r="L15" i="3"/>
  <c r="R15" i="3" s="1"/>
  <c r="L16" i="3"/>
  <c r="R16" i="3" s="1"/>
  <c r="L17" i="3"/>
  <c r="R17" i="3" s="1"/>
  <c r="L18" i="3"/>
  <c r="R18" i="3" s="1"/>
  <c r="L19" i="3"/>
  <c r="R19" i="3" s="1"/>
  <c r="L20" i="3"/>
  <c r="L21" i="3"/>
  <c r="R21" i="3" s="1"/>
  <c r="K3" i="3"/>
  <c r="Q3" i="3" s="1"/>
  <c r="K4" i="3"/>
  <c r="Q4" i="3" s="1"/>
  <c r="K5" i="3"/>
  <c r="Q5" i="3" s="1"/>
  <c r="K6" i="3"/>
  <c r="Q6" i="3" s="1"/>
  <c r="K7" i="3"/>
  <c r="Q7" i="3" s="1"/>
  <c r="K8" i="3"/>
  <c r="Q8" i="3" s="1"/>
  <c r="K9" i="3"/>
  <c r="Q9" i="3" s="1"/>
  <c r="K10" i="3"/>
  <c r="Q10" i="3" s="1"/>
  <c r="K11" i="3"/>
  <c r="Q11" i="3" s="1"/>
  <c r="K12" i="3"/>
  <c r="Q12" i="3" s="1"/>
  <c r="K13" i="3"/>
  <c r="Q13" i="3" s="1"/>
  <c r="K14" i="3"/>
  <c r="Q14" i="3" s="1"/>
  <c r="K15" i="3"/>
  <c r="Q15" i="3" s="1"/>
  <c r="K16" i="3"/>
  <c r="Q16" i="3" s="1"/>
  <c r="K17" i="3"/>
  <c r="Q17" i="3" s="1"/>
  <c r="K18" i="3"/>
  <c r="Q18" i="3" s="1"/>
  <c r="K19" i="3"/>
  <c r="Q19" i="3" s="1"/>
  <c r="K20" i="3"/>
  <c r="K21" i="3"/>
  <c r="Q21" i="3" s="1"/>
  <c r="M2" i="3"/>
  <c r="S2" i="3" s="1"/>
  <c r="L2" i="3"/>
  <c r="R2" i="3" s="1"/>
  <c r="K2" i="3"/>
  <c r="Q2" i="3" s="1"/>
  <c r="I3" i="3"/>
  <c r="O3" i="3" s="1"/>
  <c r="I4" i="3"/>
  <c r="O4" i="3" s="1"/>
  <c r="I5" i="3"/>
  <c r="O5" i="3" s="1"/>
  <c r="I6" i="3"/>
  <c r="O6" i="3" s="1"/>
  <c r="I7" i="3"/>
  <c r="O7" i="3" s="1"/>
  <c r="I8" i="3"/>
  <c r="O8" i="3" s="1"/>
  <c r="I9" i="3"/>
  <c r="O9" i="3" s="1"/>
  <c r="I10" i="3"/>
  <c r="O10" i="3" s="1"/>
  <c r="I11" i="3"/>
  <c r="O11" i="3" s="1"/>
  <c r="I12" i="3"/>
  <c r="O12" i="3" s="1"/>
  <c r="I13" i="3"/>
  <c r="O13" i="3" s="1"/>
  <c r="I14" i="3"/>
  <c r="O14" i="3" s="1"/>
  <c r="I15" i="3"/>
  <c r="O15" i="3" s="1"/>
  <c r="I16" i="3"/>
  <c r="O16" i="3" s="1"/>
  <c r="I17" i="3"/>
  <c r="O17" i="3" s="1"/>
  <c r="I18" i="3"/>
  <c r="O18" i="3" s="1"/>
  <c r="I19" i="3"/>
  <c r="O19" i="3" s="1"/>
  <c r="I20" i="3"/>
  <c r="O20" i="3" s="1"/>
  <c r="I21" i="3"/>
  <c r="J3" i="3"/>
  <c r="P3" i="3" s="1"/>
  <c r="J4" i="3"/>
  <c r="P4" i="3" s="1"/>
  <c r="J5" i="3"/>
  <c r="P5" i="3" s="1"/>
  <c r="J6" i="3"/>
  <c r="P6" i="3" s="1"/>
  <c r="J7" i="3"/>
  <c r="P7" i="3" s="1"/>
  <c r="J8" i="3"/>
  <c r="P8" i="3" s="1"/>
  <c r="J9" i="3"/>
  <c r="P9" i="3" s="1"/>
  <c r="J10" i="3"/>
  <c r="P10" i="3" s="1"/>
  <c r="J11" i="3"/>
  <c r="P11" i="3" s="1"/>
  <c r="J12" i="3"/>
  <c r="P12" i="3" s="1"/>
  <c r="J13" i="3"/>
  <c r="P13" i="3" s="1"/>
  <c r="J14" i="3"/>
  <c r="P14" i="3" s="1"/>
  <c r="J15" i="3"/>
  <c r="P15" i="3" s="1"/>
  <c r="J16" i="3"/>
  <c r="P16" i="3" s="1"/>
  <c r="J17" i="3"/>
  <c r="P17" i="3" s="1"/>
  <c r="J18" i="3"/>
  <c r="P18" i="3" s="1"/>
  <c r="J19" i="3"/>
  <c r="P19" i="3" s="1"/>
  <c r="J20" i="3"/>
  <c r="P20" i="3" s="1"/>
  <c r="J21" i="3"/>
  <c r="P21" i="3" s="1"/>
  <c r="J2" i="3"/>
  <c r="P2" i="3" s="1"/>
  <c r="I2" i="3"/>
  <c r="O2" i="3" s="1"/>
  <c r="G3" i="2"/>
  <c r="G4" i="2"/>
  <c r="G5" i="2"/>
  <c r="G6" i="2"/>
  <c r="G2" i="2"/>
  <c r="F10" i="2"/>
  <c r="F11" i="2"/>
  <c r="F12" i="2"/>
  <c r="F13" i="2"/>
  <c r="E10" i="2"/>
  <c r="E11" i="2"/>
  <c r="E12" i="2"/>
  <c r="E13" i="2"/>
  <c r="D10" i="2"/>
  <c r="D11" i="2"/>
  <c r="D12" i="2"/>
  <c r="D13" i="2"/>
  <c r="F9" i="2"/>
  <c r="E9" i="2"/>
  <c r="D9" i="2"/>
  <c r="C10" i="2"/>
  <c r="C11" i="2"/>
  <c r="C12" i="2"/>
  <c r="C13" i="2"/>
  <c r="C9" i="2"/>
  <c r="B10" i="2"/>
  <c r="B11" i="2"/>
  <c r="B12" i="2"/>
  <c r="B13" i="2"/>
  <c r="B9" i="2"/>
  <c r="F7" i="2"/>
  <c r="E6" i="2"/>
  <c r="E7" i="2" s="1"/>
  <c r="D6" i="2"/>
  <c r="D5" i="2"/>
  <c r="C6" i="2"/>
  <c r="C5" i="2"/>
  <c r="C4" i="2"/>
  <c r="B6" i="2"/>
  <c r="B5" i="2"/>
  <c r="B4" i="2"/>
  <c r="B3" i="2"/>
  <c r="S20" i="3" l="1"/>
  <c r="O21" i="3"/>
  <c r="R20" i="3"/>
  <c r="Q20" i="3"/>
  <c r="D7" i="2"/>
  <c r="C7" i="2"/>
  <c r="B7" i="2"/>
  <c r="H7" i="2" l="1"/>
</calcChain>
</file>

<file path=xl/sharedStrings.xml><?xml version="1.0" encoding="utf-8"?>
<sst xmlns="http://schemas.openxmlformats.org/spreadsheetml/2006/main" count="190" uniqueCount="79">
  <si>
    <t>Kode</t>
  </si>
  <si>
    <t>Kriteria</t>
  </si>
  <si>
    <t>C1</t>
  </si>
  <si>
    <t>Kualitas suara</t>
  </si>
  <si>
    <t>C2</t>
  </si>
  <si>
    <t>Kesesuaian dengan pertunjukan</t>
  </si>
  <si>
    <t>C3</t>
  </si>
  <si>
    <t>Daya tahan alat</t>
  </si>
  <si>
    <t>C4</t>
  </si>
  <si>
    <t>Kemudahan perawatan</t>
  </si>
  <si>
    <t>C5</t>
  </si>
  <si>
    <t>Harga alat</t>
  </si>
  <si>
    <t>Jenis</t>
  </si>
  <si>
    <t>Benefit</t>
  </si>
  <si>
    <t>Cost</t>
  </si>
  <si>
    <t>Alternatif</t>
  </si>
  <si>
    <t>A1</t>
  </si>
  <si>
    <t>Kendang</t>
  </si>
  <si>
    <t>A2</t>
  </si>
  <si>
    <t>Gong Ageng</t>
  </si>
  <si>
    <t>A3</t>
  </si>
  <si>
    <t>Gong Suwukan</t>
  </si>
  <si>
    <t>A4</t>
  </si>
  <si>
    <t>Saron</t>
  </si>
  <si>
    <t>A5</t>
  </si>
  <si>
    <t>Saron Demung</t>
  </si>
  <si>
    <t>A6</t>
  </si>
  <si>
    <t>Saron Peking</t>
  </si>
  <si>
    <t>A7</t>
  </si>
  <si>
    <t>Bonang Barung</t>
  </si>
  <si>
    <t>A8</t>
  </si>
  <si>
    <t>Bonang Panerus</t>
  </si>
  <si>
    <t>A9</t>
  </si>
  <si>
    <t>Kenong</t>
  </si>
  <si>
    <t>A10</t>
  </si>
  <si>
    <t>Kethuk</t>
  </si>
  <si>
    <t>A11</t>
  </si>
  <si>
    <t>Kempul</t>
  </si>
  <si>
    <t>A12</t>
  </si>
  <si>
    <t>Gender</t>
  </si>
  <si>
    <t>A13</t>
  </si>
  <si>
    <t>Slenthem</t>
  </si>
  <si>
    <t>A14</t>
  </si>
  <si>
    <t>Gambang</t>
  </si>
  <si>
    <t>A15</t>
  </si>
  <si>
    <t>Rebab</t>
  </si>
  <si>
    <t>A16</t>
  </si>
  <si>
    <t>Siter</t>
  </si>
  <si>
    <t>A17</t>
  </si>
  <si>
    <t>Celempung</t>
  </si>
  <si>
    <t>A18</t>
  </si>
  <si>
    <t>Seruling Bambu</t>
  </si>
  <si>
    <t>A19</t>
  </si>
  <si>
    <t>Bedug</t>
  </si>
  <si>
    <t>A20</t>
  </si>
  <si>
    <t>Kecrek</t>
  </si>
  <si>
    <t>1 = sangat buruk / sangat mahal</t>
  </si>
  <si>
    <t>5 = sangat baik / sangat murah (untuk harga)</t>
  </si>
  <si>
    <t>Kualitas Suara</t>
  </si>
  <si>
    <t>Kesesuaian Pertunjukan</t>
  </si>
  <si>
    <t>Daya Tahan</t>
  </si>
  <si>
    <t>Kemudahan Perawatan</t>
  </si>
  <si>
    <t>Harga</t>
  </si>
  <si>
    <t>Jumlah</t>
  </si>
  <si>
    <t>Bobot</t>
  </si>
  <si>
    <t>Normalisasi</t>
  </si>
  <si>
    <t>Cek Total Bobot</t>
  </si>
  <si>
    <t>Solusi Ideal</t>
  </si>
  <si>
    <t>kriteria</t>
  </si>
  <si>
    <t>positif</t>
  </si>
  <si>
    <t>negatif</t>
  </si>
  <si>
    <t>NORMALISASI BERBOBOT</t>
  </si>
  <si>
    <t>Jarak soulusi ideal</t>
  </si>
  <si>
    <t>+</t>
  </si>
  <si>
    <t>-</t>
  </si>
  <si>
    <t>nilai</t>
  </si>
  <si>
    <t>Rank</t>
  </si>
  <si>
    <t>Keterangan</t>
  </si>
  <si>
    <t>Nilai Preferensi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</si>
</sst>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1" xfId="0" applyNumberFormat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4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64" fontId="2" fillId="5" borderId="1" xfId="0" applyNumberFormat="1" applyFont="1" applyFill="1" applyBorder="1" applyAlignment="1">
      <alignment vertical="center" wrapText="1"/>
    </xf>
    <xf numFmtId="164" fontId="0" fillId="0" borderId="1" xfId="0" applyNumberFormat="1" applyBorder="1"/>
    <xf numFmtId="164" fontId="2" fillId="5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0A58-B864-4CB5-BC2F-1BE1DAF9A7DD}">
  <dimension ref="A1:P28"/>
  <sheetViews>
    <sheetView topLeftCell="D1" zoomScale="61" workbookViewId="0">
      <selection activeCell="O10" sqref="O10"/>
    </sheetView>
  </sheetViews>
  <sheetFormatPr defaultRowHeight="15" x14ac:dyDescent="0.25"/>
  <cols>
    <col min="2" max="2" width="19.7109375" customWidth="1"/>
    <col min="5" max="5" width="10.85546875" customWidth="1"/>
  </cols>
  <sheetData>
    <row r="1" spans="1:16" s="6" customFormat="1" x14ac:dyDescent="0.25">
      <c r="A1" s="5" t="s">
        <v>0</v>
      </c>
      <c r="B1" s="5" t="s">
        <v>1</v>
      </c>
      <c r="C1" s="5" t="s">
        <v>12</v>
      </c>
      <c r="E1" s="5" t="s">
        <v>15</v>
      </c>
      <c r="F1" s="5" t="s">
        <v>2</v>
      </c>
      <c r="G1" s="5" t="s">
        <v>4</v>
      </c>
      <c r="H1" s="5" t="s">
        <v>6</v>
      </c>
      <c r="I1" s="5" t="s">
        <v>8</v>
      </c>
      <c r="J1" s="5" t="s">
        <v>10</v>
      </c>
      <c r="L1" s="8" t="s">
        <v>56</v>
      </c>
      <c r="M1" s="9"/>
      <c r="N1" s="9"/>
      <c r="O1" s="9"/>
      <c r="P1" s="9"/>
    </row>
    <row r="2" spans="1:16" s="6" customFormat="1" x14ac:dyDescent="0.25">
      <c r="A2" s="7" t="s">
        <v>2</v>
      </c>
      <c r="B2" s="7" t="s">
        <v>3</v>
      </c>
      <c r="C2" s="7" t="s">
        <v>13</v>
      </c>
      <c r="E2" s="7" t="s">
        <v>17</v>
      </c>
      <c r="F2" s="7">
        <v>5</v>
      </c>
      <c r="G2" s="7">
        <v>5</v>
      </c>
      <c r="H2" s="7">
        <v>4</v>
      </c>
      <c r="I2" s="7">
        <v>4</v>
      </c>
      <c r="J2" s="7">
        <v>3</v>
      </c>
      <c r="L2" s="8" t="s">
        <v>57</v>
      </c>
      <c r="M2" s="9"/>
      <c r="N2" s="9"/>
      <c r="O2" s="9"/>
      <c r="P2" s="9"/>
    </row>
    <row r="3" spans="1:16" s="6" customFormat="1" ht="30" x14ac:dyDescent="0.25">
      <c r="A3" s="7" t="s">
        <v>4</v>
      </c>
      <c r="B3" s="7" t="s">
        <v>5</v>
      </c>
      <c r="C3" s="7" t="s">
        <v>13</v>
      </c>
      <c r="E3" s="7" t="s">
        <v>19</v>
      </c>
      <c r="F3" s="7">
        <v>5</v>
      </c>
      <c r="G3" s="7">
        <v>5</v>
      </c>
      <c r="H3" s="7">
        <v>5</v>
      </c>
      <c r="I3" s="7">
        <v>3</v>
      </c>
      <c r="J3" s="7">
        <v>2</v>
      </c>
      <c r="L3"/>
    </row>
    <row r="4" spans="1:16" s="6" customFormat="1" ht="30" x14ac:dyDescent="0.25">
      <c r="A4" s="7" t="s">
        <v>6</v>
      </c>
      <c r="B4" s="7" t="s">
        <v>7</v>
      </c>
      <c r="C4" s="7" t="s">
        <v>13</v>
      </c>
      <c r="E4" s="7" t="s">
        <v>21</v>
      </c>
      <c r="F4" s="7">
        <v>4</v>
      </c>
      <c r="G4" s="7">
        <v>4</v>
      </c>
      <c r="H4" s="7">
        <v>4</v>
      </c>
      <c r="I4" s="7">
        <v>3</v>
      </c>
      <c r="J4" s="7">
        <v>3</v>
      </c>
    </row>
    <row r="5" spans="1:16" s="6" customFormat="1" ht="30" x14ac:dyDescent="0.25">
      <c r="A5" s="7" t="s">
        <v>8</v>
      </c>
      <c r="B5" s="7" t="s">
        <v>9</v>
      </c>
      <c r="C5" s="7" t="s">
        <v>13</v>
      </c>
      <c r="E5" s="7" t="s">
        <v>23</v>
      </c>
      <c r="F5" s="7">
        <v>4</v>
      </c>
      <c r="G5" s="7">
        <v>4</v>
      </c>
      <c r="H5" s="7">
        <v>4</v>
      </c>
      <c r="I5" s="7">
        <v>5</v>
      </c>
      <c r="J5" s="7">
        <v>4</v>
      </c>
    </row>
    <row r="6" spans="1:16" s="6" customFormat="1" ht="30" x14ac:dyDescent="0.25">
      <c r="A6" s="7" t="s">
        <v>10</v>
      </c>
      <c r="B6" s="7" t="s">
        <v>11</v>
      </c>
      <c r="C6" s="7" t="s">
        <v>14</v>
      </c>
      <c r="E6" s="7" t="s">
        <v>25</v>
      </c>
      <c r="F6" s="7">
        <v>4</v>
      </c>
      <c r="G6" s="7">
        <v>4</v>
      </c>
      <c r="H6" s="7">
        <v>5</v>
      </c>
      <c r="I6" s="7">
        <v>4</v>
      </c>
      <c r="J6" s="7">
        <v>3</v>
      </c>
    </row>
    <row r="7" spans="1:16" s="6" customFormat="1" ht="30" x14ac:dyDescent="0.25">
      <c r="E7" s="7" t="s">
        <v>27</v>
      </c>
      <c r="F7" s="7">
        <v>4</v>
      </c>
      <c r="G7" s="7">
        <v>4</v>
      </c>
      <c r="H7" s="7">
        <v>4</v>
      </c>
      <c r="I7" s="7">
        <v>4</v>
      </c>
      <c r="J7" s="7">
        <v>4</v>
      </c>
    </row>
    <row r="8" spans="1:16" s="6" customFormat="1" ht="30" x14ac:dyDescent="0.25">
      <c r="A8" s="5" t="s">
        <v>0</v>
      </c>
      <c r="B8" s="5" t="s">
        <v>15</v>
      </c>
      <c r="E8" s="7" t="s">
        <v>29</v>
      </c>
      <c r="F8" s="7">
        <v>4</v>
      </c>
      <c r="G8" s="7">
        <v>5</v>
      </c>
      <c r="H8" s="7">
        <v>4</v>
      </c>
      <c r="I8" s="7">
        <v>4</v>
      </c>
      <c r="J8" s="7">
        <v>3</v>
      </c>
    </row>
    <row r="9" spans="1:16" s="6" customFormat="1" ht="30" x14ac:dyDescent="0.25">
      <c r="A9" s="7" t="s">
        <v>16</v>
      </c>
      <c r="B9" s="7" t="s">
        <v>17</v>
      </c>
      <c r="E9" s="7" t="s">
        <v>31</v>
      </c>
      <c r="F9" s="7">
        <v>4</v>
      </c>
      <c r="G9" s="7">
        <v>5</v>
      </c>
      <c r="H9" s="7">
        <v>4</v>
      </c>
      <c r="I9" s="7">
        <v>3</v>
      </c>
      <c r="J9" s="7">
        <v>3</v>
      </c>
    </row>
    <row r="10" spans="1:16" s="6" customFormat="1" x14ac:dyDescent="0.25">
      <c r="A10" s="7" t="s">
        <v>18</v>
      </c>
      <c r="B10" s="7" t="s">
        <v>19</v>
      </c>
      <c r="E10" s="7" t="s">
        <v>33</v>
      </c>
      <c r="F10" s="7">
        <v>4</v>
      </c>
      <c r="G10" s="7">
        <v>4</v>
      </c>
      <c r="H10" s="7">
        <v>5</v>
      </c>
      <c r="I10" s="7">
        <v>4</v>
      </c>
      <c r="J10" s="7">
        <v>3</v>
      </c>
    </row>
    <row r="11" spans="1:16" s="6" customFormat="1" x14ac:dyDescent="0.25">
      <c r="A11" s="7" t="s">
        <v>20</v>
      </c>
      <c r="B11" s="7" t="s">
        <v>21</v>
      </c>
      <c r="E11" s="7" t="s">
        <v>35</v>
      </c>
      <c r="F11" s="7">
        <v>3</v>
      </c>
      <c r="G11" s="7">
        <v>3</v>
      </c>
      <c r="H11" s="7">
        <v>5</v>
      </c>
      <c r="I11" s="7">
        <v>5</v>
      </c>
      <c r="J11" s="7">
        <v>4</v>
      </c>
    </row>
    <row r="12" spans="1:16" s="6" customFormat="1" x14ac:dyDescent="0.25">
      <c r="A12" s="7" t="s">
        <v>22</v>
      </c>
      <c r="B12" s="7" t="s">
        <v>23</v>
      </c>
      <c r="E12" s="7" t="s">
        <v>37</v>
      </c>
      <c r="F12" s="7">
        <v>4</v>
      </c>
      <c r="G12" s="7">
        <v>4</v>
      </c>
      <c r="H12" s="7">
        <v>4</v>
      </c>
      <c r="I12" s="7">
        <v>3</v>
      </c>
      <c r="J12" s="7">
        <v>3</v>
      </c>
    </row>
    <row r="13" spans="1:16" s="6" customFormat="1" x14ac:dyDescent="0.25">
      <c r="A13" s="7" t="s">
        <v>24</v>
      </c>
      <c r="B13" s="7" t="s">
        <v>25</v>
      </c>
      <c r="E13" s="7" t="s">
        <v>39</v>
      </c>
      <c r="F13" s="7">
        <v>5</v>
      </c>
      <c r="G13" s="7">
        <v>4</v>
      </c>
      <c r="H13" s="7">
        <v>3</v>
      </c>
      <c r="I13" s="7">
        <v>3</v>
      </c>
      <c r="J13" s="7">
        <v>3</v>
      </c>
    </row>
    <row r="14" spans="1:16" s="6" customFormat="1" x14ac:dyDescent="0.25">
      <c r="A14" s="7" t="s">
        <v>26</v>
      </c>
      <c r="B14" s="7" t="s">
        <v>27</v>
      </c>
      <c r="E14" s="7" t="s">
        <v>41</v>
      </c>
      <c r="F14" s="7">
        <v>4</v>
      </c>
      <c r="G14" s="7">
        <v>4</v>
      </c>
      <c r="H14" s="7">
        <v>4</v>
      </c>
      <c r="I14" s="7">
        <v>4</v>
      </c>
      <c r="J14" s="7">
        <v>4</v>
      </c>
    </row>
    <row r="15" spans="1:16" s="6" customFormat="1" x14ac:dyDescent="0.25">
      <c r="A15" s="7" t="s">
        <v>28</v>
      </c>
      <c r="B15" s="7" t="s">
        <v>29</v>
      </c>
      <c r="E15" s="7" t="s">
        <v>43</v>
      </c>
      <c r="F15" s="7">
        <v>4</v>
      </c>
      <c r="G15" s="7">
        <v>3</v>
      </c>
      <c r="H15" s="7">
        <v>3</v>
      </c>
      <c r="I15" s="7">
        <v>3</v>
      </c>
      <c r="J15" s="7">
        <v>4</v>
      </c>
    </row>
    <row r="16" spans="1:16" s="6" customFormat="1" x14ac:dyDescent="0.25">
      <c r="A16" s="7" t="s">
        <v>30</v>
      </c>
      <c r="B16" s="7" t="s">
        <v>31</v>
      </c>
      <c r="E16" s="7" t="s">
        <v>45</v>
      </c>
      <c r="F16" s="7">
        <v>4</v>
      </c>
      <c r="G16" s="7">
        <v>4</v>
      </c>
      <c r="H16" s="7">
        <v>3</v>
      </c>
      <c r="I16" s="7">
        <v>3</v>
      </c>
      <c r="J16" s="7">
        <v>4</v>
      </c>
    </row>
    <row r="17" spans="1:10" s="6" customFormat="1" x14ac:dyDescent="0.25">
      <c r="A17" s="7" t="s">
        <v>32</v>
      </c>
      <c r="B17" s="7" t="s">
        <v>33</v>
      </c>
      <c r="E17" s="7" t="s">
        <v>47</v>
      </c>
      <c r="F17" s="7">
        <v>4</v>
      </c>
      <c r="G17" s="7">
        <v>3</v>
      </c>
      <c r="H17" s="7">
        <v>3</v>
      </c>
      <c r="I17" s="7">
        <v>3</v>
      </c>
      <c r="J17" s="7">
        <v>4</v>
      </c>
    </row>
    <row r="18" spans="1:10" s="6" customFormat="1" ht="30" x14ac:dyDescent="0.25">
      <c r="A18" s="7" t="s">
        <v>34</v>
      </c>
      <c r="B18" s="7" t="s">
        <v>35</v>
      </c>
      <c r="E18" s="7" t="s">
        <v>49</v>
      </c>
      <c r="F18" s="7">
        <v>4</v>
      </c>
      <c r="G18" s="7">
        <v>3</v>
      </c>
      <c r="H18" s="7">
        <v>3</v>
      </c>
      <c r="I18" s="7">
        <v>3</v>
      </c>
      <c r="J18" s="7">
        <v>4</v>
      </c>
    </row>
    <row r="19" spans="1:10" s="6" customFormat="1" ht="30" x14ac:dyDescent="0.25">
      <c r="A19" s="7" t="s">
        <v>36</v>
      </c>
      <c r="B19" s="7" t="s">
        <v>37</v>
      </c>
      <c r="E19" s="7" t="s">
        <v>51</v>
      </c>
      <c r="F19" s="7">
        <v>4</v>
      </c>
      <c r="G19" s="7">
        <v>4</v>
      </c>
      <c r="H19" s="7">
        <v>3</v>
      </c>
      <c r="I19" s="7">
        <v>4</v>
      </c>
      <c r="J19" s="7">
        <v>5</v>
      </c>
    </row>
    <row r="20" spans="1:10" s="6" customFormat="1" x14ac:dyDescent="0.25">
      <c r="A20" s="7" t="s">
        <v>38</v>
      </c>
      <c r="B20" s="7" t="s">
        <v>39</v>
      </c>
      <c r="E20" s="7" t="s">
        <v>53</v>
      </c>
      <c r="F20" s="7">
        <v>4</v>
      </c>
      <c r="G20" s="7">
        <v>4</v>
      </c>
      <c r="H20" s="7">
        <v>5</v>
      </c>
      <c r="I20" s="7">
        <v>4</v>
      </c>
      <c r="J20" s="7">
        <v>3</v>
      </c>
    </row>
    <row r="21" spans="1:10" s="6" customFormat="1" x14ac:dyDescent="0.25">
      <c r="A21" s="7" t="s">
        <v>40</v>
      </c>
      <c r="B21" s="7" t="s">
        <v>41</v>
      </c>
      <c r="E21" s="7" t="s">
        <v>55</v>
      </c>
      <c r="F21" s="7">
        <v>3</v>
      </c>
      <c r="G21" s="7">
        <v>4</v>
      </c>
      <c r="H21" s="7">
        <v>5</v>
      </c>
      <c r="I21" s="7">
        <v>5</v>
      </c>
      <c r="J21" s="7">
        <v>5</v>
      </c>
    </row>
    <row r="22" spans="1:10" s="6" customFormat="1" x14ac:dyDescent="0.25">
      <c r="A22" s="7" t="s">
        <v>42</v>
      </c>
      <c r="B22" s="7" t="s">
        <v>43</v>
      </c>
    </row>
    <row r="23" spans="1:10" s="6" customFormat="1" x14ac:dyDescent="0.25">
      <c r="A23" s="7" t="s">
        <v>44</v>
      </c>
      <c r="B23" s="7" t="s">
        <v>45</v>
      </c>
    </row>
    <row r="24" spans="1:10" s="6" customFormat="1" x14ac:dyDescent="0.25">
      <c r="A24" s="7" t="s">
        <v>46</v>
      </c>
      <c r="B24" s="7" t="s">
        <v>47</v>
      </c>
    </row>
    <row r="25" spans="1:10" s="6" customFormat="1" x14ac:dyDescent="0.25">
      <c r="A25" s="7" t="s">
        <v>48</v>
      </c>
      <c r="B25" s="7" t="s">
        <v>49</v>
      </c>
    </row>
    <row r="26" spans="1:10" s="6" customFormat="1" x14ac:dyDescent="0.25">
      <c r="A26" s="7" t="s">
        <v>50</v>
      </c>
      <c r="B26" s="7" t="s">
        <v>51</v>
      </c>
    </row>
    <row r="27" spans="1:10" s="6" customFormat="1" x14ac:dyDescent="0.25">
      <c r="A27" s="7" t="s">
        <v>52</v>
      </c>
      <c r="B27" s="7" t="s">
        <v>53</v>
      </c>
    </row>
    <row r="28" spans="1:10" s="6" customFormat="1" x14ac:dyDescent="0.25">
      <c r="A28" s="7" t="s">
        <v>54</v>
      </c>
      <c r="B28" s="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DB64-140B-4AEB-9886-3814D440254E}">
  <dimension ref="A1:AE28"/>
  <sheetViews>
    <sheetView tabSelected="1" topLeftCell="X1" zoomScale="80" zoomScaleNormal="80" workbookViewId="0">
      <selection activeCell="AF9" sqref="AF9"/>
    </sheetView>
  </sheetViews>
  <sheetFormatPr defaultRowHeight="15" x14ac:dyDescent="0.25"/>
  <cols>
    <col min="1" max="1" width="15.5703125" style="22" customWidth="1"/>
    <col min="2" max="7" width="9.140625" style="22"/>
    <col min="8" max="8" width="11.42578125" style="22" customWidth="1"/>
    <col min="9" max="13" width="9.140625" style="22"/>
    <col min="14" max="14" width="20.85546875" style="22" customWidth="1"/>
    <col min="15" max="15" width="9.140625" style="22"/>
    <col min="16" max="16" width="10.85546875" style="22" customWidth="1"/>
    <col min="17" max="17" width="10.7109375" style="22" customWidth="1"/>
    <col min="18" max="20" width="9.140625" style="22"/>
    <col min="21" max="21" width="12.85546875" style="22" customWidth="1"/>
    <col min="22" max="22" width="16.85546875" style="22" customWidth="1"/>
    <col min="23" max="29" width="9.140625" style="22"/>
    <col min="30" max="30" width="14" style="22" customWidth="1"/>
    <col min="31" max="31" width="12.28515625" style="22" customWidth="1"/>
    <col min="32" max="16384" width="9.140625" style="22"/>
  </cols>
  <sheetData>
    <row r="1" spans="1:31" ht="45" x14ac:dyDescent="0.25">
      <c r="A1" s="1" t="s">
        <v>15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H1" s="23" t="s">
        <v>65</v>
      </c>
      <c r="I1" s="1" t="s">
        <v>2</v>
      </c>
      <c r="J1" s="1" t="s">
        <v>4</v>
      </c>
      <c r="K1" s="1" t="s">
        <v>6</v>
      </c>
      <c r="L1" s="1" t="s">
        <v>8</v>
      </c>
      <c r="M1" s="1" t="s">
        <v>10</v>
      </c>
      <c r="N1" s="24" t="s">
        <v>71</v>
      </c>
      <c r="O1" s="1" t="s">
        <v>2</v>
      </c>
      <c r="P1" s="1" t="s">
        <v>4</v>
      </c>
      <c r="Q1" s="1" t="s">
        <v>6</v>
      </c>
      <c r="R1" s="1" t="s">
        <v>8</v>
      </c>
      <c r="S1" s="1" t="s">
        <v>10</v>
      </c>
      <c r="U1" s="26" t="s">
        <v>72</v>
      </c>
      <c r="V1" s="26" t="s">
        <v>15</v>
      </c>
      <c r="W1" s="26" t="s">
        <v>73</v>
      </c>
      <c r="X1" s="26" t="s">
        <v>74</v>
      </c>
      <c r="Y1" s="35"/>
      <c r="Z1" s="36"/>
      <c r="AA1" s="25" t="s">
        <v>75</v>
      </c>
      <c r="AC1" s="30" t="s">
        <v>76</v>
      </c>
      <c r="AD1" s="30" t="s">
        <v>78</v>
      </c>
      <c r="AE1" s="30" t="s">
        <v>77</v>
      </c>
    </row>
    <row r="2" spans="1:31" x14ac:dyDescent="0.25">
      <c r="A2" s="20" t="s">
        <v>17</v>
      </c>
      <c r="B2" s="20">
        <v>5</v>
      </c>
      <c r="C2" s="20">
        <v>5</v>
      </c>
      <c r="D2" s="20">
        <v>4</v>
      </c>
      <c r="E2" s="20">
        <v>4</v>
      </c>
      <c r="F2" s="20">
        <v>3</v>
      </c>
      <c r="I2" s="21">
        <f>B2 / SQRT(SUMSQ($B$2:$B$21))</f>
        <v>0.2739983121755955</v>
      </c>
      <c r="J2" s="21">
        <f>C2 / SQRT(SUMSQ($C$2:$C$21))</f>
        <v>0.27607881518711636</v>
      </c>
      <c r="K2" s="21">
        <f>D2 / SQRT(SUMSQ($D$2:$D$21))</f>
        <v>0.21952851997938069</v>
      </c>
      <c r="L2" s="21">
        <f>E2 / SQRT(SUMSQ($E$2:$E$21))</f>
        <v>0.23735633163877065</v>
      </c>
      <c r="M2" s="21">
        <f>F2 / SQRT(SUMSQ($F$2:$F$21))</f>
        <v>0.18498792479346221</v>
      </c>
      <c r="O2" s="27">
        <f>I2 *AHP!$G$2</f>
        <v>0.13777169317010005</v>
      </c>
      <c r="P2" s="27">
        <f>J2 *AHP!$G$3</f>
        <v>7.1844428430409585E-2</v>
      </c>
      <c r="Q2" s="27">
        <f>K2 *AHP!$G$4</f>
        <v>2.9493753377592778E-2</v>
      </c>
      <c r="R2" s="27">
        <f>L2 *AHP!$G$5</f>
        <v>1.608745836995213E-2</v>
      </c>
      <c r="S2" s="27">
        <f>M2 *AHP!$G$6</f>
        <v>6.4414292006520013E-3</v>
      </c>
      <c r="V2" s="20" t="s">
        <v>17</v>
      </c>
      <c r="W2" s="28">
        <f>SQRT(
(O2-$P$24)^2 +
(P2-$P$25)^2 +
(Q2-$P$26)^2 +
(R2-$P$27)^2 +
(S2-$P$28)^2
)</f>
        <v>8.6690951758888069E-3</v>
      </c>
      <c r="X2" s="21">
        <f>SQRT(
(O2-$Q$24)^2 +
(P2-$Q$25)^2 +
(Q2-$Q$26)^2 +
(R2-$Q$27)^2 +
(S2-$Q$28)^2
)</f>
        <v>6.2863420960757255E-2</v>
      </c>
      <c r="AA2" s="29">
        <f>X2/(W2+X2)</f>
        <v>0.87880902778075731</v>
      </c>
      <c r="AC2" s="37">
        <f>RANK(AA2,$AA$2:$AA$21)</f>
        <v>2</v>
      </c>
      <c r="AD2" s="33">
        <f>AA2</f>
        <v>0.87880902778075731</v>
      </c>
      <c r="AE2" s="31" t="str">
        <f>IF(AD2&gt;0.7,"Sangat Baik",IF(AD2&gt;=0.4,"Baik","Terburuk"))</f>
        <v>Sangat Baik</v>
      </c>
    </row>
    <row r="3" spans="1:31" x14ac:dyDescent="0.25">
      <c r="A3" s="20" t="s">
        <v>19</v>
      </c>
      <c r="B3" s="20">
        <v>5</v>
      </c>
      <c r="C3" s="20">
        <v>5</v>
      </c>
      <c r="D3" s="20">
        <v>5</v>
      </c>
      <c r="E3" s="20">
        <v>3</v>
      </c>
      <c r="F3" s="20">
        <v>2</v>
      </c>
      <c r="I3" s="21">
        <f t="shared" ref="I3:I21" si="0">B3 / SQRT(SUMSQ($B$2:$B$21))</f>
        <v>0.2739983121755955</v>
      </c>
      <c r="J3" s="21">
        <f t="shared" ref="J3:J21" si="1">C3 / SQRT(SUMSQ($C$2:$C$21))</f>
        <v>0.27607881518711636</v>
      </c>
      <c r="K3" s="21">
        <f t="shared" ref="K3:K21" si="2">D3 / SQRT(SUMSQ($D$2:$D$21))</f>
        <v>0.27441064997422587</v>
      </c>
      <c r="L3" s="21">
        <f t="shared" ref="L3:L21" si="3">E3 / SQRT(SUMSQ($E$2:$E$21))</f>
        <v>0.17801724872907798</v>
      </c>
      <c r="M3" s="21">
        <f t="shared" ref="M3:M20" si="4">F3 / SQRT(SUMSQ($F$2:$F$21))</f>
        <v>0.12332528319564147</v>
      </c>
      <c r="O3" s="27">
        <f>I3 *AHP!$G$2</f>
        <v>0.13777169317010005</v>
      </c>
      <c r="P3" s="27">
        <f>J3 *AHP!$G$3</f>
        <v>7.1844428430409585E-2</v>
      </c>
      <c r="Q3" s="27">
        <f>K3 *AHP!$G$4</f>
        <v>3.6867191721990974E-2</v>
      </c>
      <c r="R3" s="27">
        <f>L3 *AHP!$G$5</f>
        <v>1.2065593777464098E-2</v>
      </c>
      <c r="S3" s="27">
        <f>M3 *AHP!$G$6</f>
        <v>4.2942861337680006E-3</v>
      </c>
      <c r="V3" s="20" t="s">
        <v>19</v>
      </c>
      <c r="W3" s="28">
        <f>SQRT(
(O3-$P$24)^2 +
(P3-$P$25)^2 +
(Q3-$P$26)^2 +
(R3-$P$27)^2 +
(S3-$P$28)^2
)</f>
        <v>8.0437291849760634E-3</v>
      </c>
      <c r="X3" s="21">
        <f t="shared" ref="X3:X21" si="5">SQRT(
(O3-$Q$24)^2 +
(P3-$Q$25)^2 +
(Q3-$Q$26)^2 +
(R3-$Q$27)^2 +
(S3-$Q$28)^2
)</f>
        <v>6.4201154163249508E-2</v>
      </c>
      <c r="AA3" s="29">
        <f t="shared" ref="AA3:AA21" si="6">X3/(W3+X3)</f>
        <v>0.88866022322709415</v>
      </c>
      <c r="AC3" s="37">
        <f t="shared" ref="AC3:AC21" si="7">RANK(AA3,$AA$2:$AA$21)</f>
        <v>1</v>
      </c>
      <c r="AD3" s="33">
        <f t="shared" ref="AD3:AD21" si="8">AA3</f>
        <v>0.88866022322709415</v>
      </c>
      <c r="AE3" s="31" t="str">
        <f t="shared" ref="AE3:AE21" si="9">IF(AD3&gt;0.7,"Sangat Baik",IF(AD3&gt;=0.4,"Baik","Terburuk"))</f>
        <v>Sangat Baik</v>
      </c>
    </row>
    <row r="4" spans="1:31" x14ac:dyDescent="0.25">
      <c r="A4" s="20" t="s">
        <v>21</v>
      </c>
      <c r="B4" s="20">
        <v>4</v>
      </c>
      <c r="C4" s="20">
        <v>4</v>
      </c>
      <c r="D4" s="20">
        <v>4</v>
      </c>
      <c r="E4" s="20">
        <v>3</v>
      </c>
      <c r="F4" s="20">
        <v>3</v>
      </c>
      <c r="I4" s="21">
        <f t="shared" si="0"/>
        <v>0.2191986497404764</v>
      </c>
      <c r="J4" s="21">
        <f t="shared" si="1"/>
        <v>0.22086305214969307</v>
      </c>
      <c r="K4" s="21">
        <f t="shared" si="2"/>
        <v>0.21952851997938069</v>
      </c>
      <c r="L4" s="21">
        <f t="shared" si="3"/>
        <v>0.17801724872907798</v>
      </c>
      <c r="M4" s="21">
        <f t="shared" si="4"/>
        <v>0.18498792479346221</v>
      </c>
      <c r="O4" s="27">
        <f>I4 *AHP!$G$2</f>
        <v>0.11021735453608003</v>
      </c>
      <c r="P4" s="27">
        <f>J4 *AHP!$G$3</f>
        <v>5.7475542744327666E-2</v>
      </c>
      <c r="Q4" s="27">
        <f>K4 *AHP!$G$4</f>
        <v>2.9493753377592778E-2</v>
      </c>
      <c r="R4" s="27">
        <f>L4 *AHP!$G$5</f>
        <v>1.2065593777464098E-2</v>
      </c>
      <c r="S4" s="27">
        <f>M4 *AHP!$G$6</f>
        <v>6.4414292006520013E-3</v>
      </c>
      <c r="V4" s="20" t="s">
        <v>21</v>
      </c>
      <c r="W4" s="28">
        <f t="shared" ref="W4:W21" si="10">SQRT(
(O4-$P$24)^2 +
(P4-$P$25)^2 +
(Q4-$P$26)^2 +
(R4-$P$27)^2 +
(S4-$P$28)^2
)</f>
        <v>3.3005845679023031E-2</v>
      </c>
      <c r="X4" s="21">
        <f t="shared" si="5"/>
        <v>3.2225997887346348E-2</v>
      </c>
      <c r="AA4" s="29">
        <f t="shared" si="6"/>
        <v>0.4940224915544259</v>
      </c>
      <c r="AC4" s="37">
        <f t="shared" si="7"/>
        <v>12</v>
      </c>
      <c r="AD4" s="33">
        <f t="shared" si="8"/>
        <v>0.4940224915544259</v>
      </c>
      <c r="AE4" s="31" t="str">
        <f t="shared" si="9"/>
        <v>Baik</v>
      </c>
    </row>
    <row r="5" spans="1:31" x14ac:dyDescent="0.25">
      <c r="A5" s="20" t="s">
        <v>23</v>
      </c>
      <c r="B5" s="20">
        <v>4</v>
      </c>
      <c r="C5" s="20">
        <v>4</v>
      </c>
      <c r="D5" s="20">
        <v>4</v>
      </c>
      <c r="E5" s="20">
        <v>5</v>
      </c>
      <c r="F5" s="20">
        <v>4</v>
      </c>
      <c r="I5" s="21">
        <f t="shared" si="0"/>
        <v>0.2191986497404764</v>
      </c>
      <c r="J5" s="21">
        <f t="shared" si="1"/>
        <v>0.22086305214969307</v>
      </c>
      <c r="K5" s="21">
        <f t="shared" si="2"/>
        <v>0.21952851997938069</v>
      </c>
      <c r="L5" s="21">
        <f t="shared" si="3"/>
        <v>0.29669541454846332</v>
      </c>
      <c r="M5" s="21">
        <f t="shared" si="4"/>
        <v>0.24665056639128294</v>
      </c>
      <c r="O5" s="27">
        <f>I5 *AHP!$G$2</f>
        <v>0.11021735453608003</v>
      </c>
      <c r="P5" s="27">
        <f>J5 *AHP!$G$3</f>
        <v>5.7475542744327666E-2</v>
      </c>
      <c r="Q5" s="27">
        <f>K5 *AHP!$G$4</f>
        <v>2.9493753377592778E-2</v>
      </c>
      <c r="R5" s="27">
        <f>L5 *AHP!$G$5</f>
        <v>2.0109322962440161E-2</v>
      </c>
      <c r="S5" s="27">
        <f>M5 *AHP!$G$6</f>
        <v>8.5885722675360012E-3</v>
      </c>
      <c r="V5" s="20" t="s">
        <v>23</v>
      </c>
      <c r="W5" s="28">
        <f>SQRT(
(O5-$P$24)^2 +
(P5-$P$25)^2 +
(Q5-$P$26)^2 +
(R5-$P$27)^2 +
(S5-$P$28)^2
)</f>
        <v>3.2225997887346355E-2</v>
      </c>
      <c r="X5" s="21">
        <f t="shared" si="5"/>
        <v>3.3005845679023031E-2</v>
      </c>
      <c r="AA5" s="29">
        <f t="shared" si="6"/>
        <v>0.5059775084455741</v>
      </c>
      <c r="AC5" s="37">
        <f t="shared" si="7"/>
        <v>9</v>
      </c>
      <c r="AD5" s="33">
        <f t="shared" si="8"/>
        <v>0.5059775084455741</v>
      </c>
      <c r="AE5" s="31" t="str">
        <f t="shared" si="9"/>
        <v>Baik</v>
      </c>
    </row>
    <row r="6" spans="1:31" x14ac:dyDescent="0.25">
      <c r="A6" s="20" t="s">
        <v>25</v>
      </c>
      <c r="B6" s="20">
        <v>4</v>
      </c>
      <c r="C6" s="20">
        <v>4</v>
      </c>
      <c r="D6" s="20">
        <v>5</v>
      </c>
      <c r="E6" s="20">
        <v>4</v>
      </c>
      <c r="F6" s="20">
        <v>3</v>
      </c>
      <c r="I6" s="21">
        <f t="shared" si="0"/>
        <v>0.2191986497404764</v>
      </c>
      <c r="J6" s="21">
        <f t="shared" si="1"/>
        <v>0.22086305214969307</v>
      </c>
      <c r="K6" s="21">
        <f t="shared" si="2"/>
        <v>0.27441064997422587</v>
      </c>
      <c r="L6" s="21">
        <f t="shared" si="3"/>
        <v>0.23735633163877065</v>
      </c>
      <c r="M6" s="21">
        <f t="shared" si="4"/>
        <v>0.18498792479346221</v>
      </c>
      <c r="O6" s="27">
        <f>I6 *AHP!$G$2</f>
        <v>0.11021735453608003</v>
      </c>
      <c r="P6" s="27">
        <f>J6 *AHP!$G$3</f>
        <v>5.7475542744327666E-2</v>
      </c>
      <c r="Q6" s="27">
        <f>K6 *AHP!$G$4</f>
        <v>3.6867191721990974E-2</v>
      </c>
      <c r="R6" s="27">
        <f>L6 *AHP!$G$5</f>
        <v>1.608745836995213E-2</v>
      </c>
      <c r="S6" s="27">
        <f>M6 *AHP!$G$6</f>
        <v>6.4414292006520013E-3</v>
      </c>
      <c r="V6" s="20" t="s">
        <v>25</v>
      </c>
      <c r="W6" s="28">
        <f>SQRT(
(O6-$P$24)^2 +
(P6-$P$25)^2 +
(Q6-$P$26)^2 +
(R6-$P$27)^2 +
(S6-$P$28)^2
)</f>
        <v>3.1408471334465081E-2</v>
      </c>
      <c r="X6" s="21">
        <f t="shared" si="5"/>
        <v>3.4896892607959883E-2</v>
      </c>
      <c r="AA6" s="29">
        <f t="shared" si="6"/>
        <v>0.5263057245000865</v>
      </c>
      <c r="AC6" s="37">
        <f t="shared" si="7"/>
        <v>6</v>
      </c>
      <c r="AD6" s="33">
        <f t="shared" si="8"/>
        <v>0.5263057245000865</v>
      </c>
      <c r="AE6" s="31" t="str">
        <f t="shared" si="9"/>
        <v>Baik</v>
      </c>
    </row>
    <row r="7" spans="1:31" x14ac:dyDescent="0.25">
      <c r="A7" s="20" t="s">
        <v>27</v>
      </c>
      <c r="B7" s="20">
        <v>4</v>
      </c>
      <c r="C7" s="20">
        <v>4</v>
      </c>
      <c r="D7" s="20">
        <v>4</v>
      </c>
      <c r="E7" s="20">
        <v>4</v>
      </c>
      <c r="F7" s="20">
        <v>4</v>
      </c>
      <c r="I7" s="21">
        <f t="shared" si="0"/>
        <v>0.2191986497404764</v>
      </c>
      <c r="J7" s="21">
        <f t="shared" si="1"/>
        <v>0.22086305214969307</v>
      </c>
      <c r="K7" s="21">
        <f t="shared" si="2"/>
        <v>0.21952851997938069</v>
      </c>
      <c r="L7" s="21">
        <f t="shared" si="3"/>
        <v>0.23735633163877065</v>
      </c>
      <c r="M7" s="21">
        <f t="shared" si="4"/>
        <v>0.24665056639128294</v>
      </c>
      <c r="O7" s="27">
        <f>I7 *AHP!$G$2</f>
        <v>0.11021735453608003</v>
      </c>
      <c r="P7" s="27">
        <f>J7 *AHP!$G$3</f>
        <v>5.7475542744327666E-2</v>
      </c>
      <c r="Q7" s="27">
        <f>K7 *AHP!$G$4</f>
        <v>2.9493753377592778E-2</v>
      </c>
      <c r="R7" s="27">
        <f>L7 *AHP!$G$5</f>
        <v>1.608745836995213E-2</v>
      </c>
      <c r="S7" s="27">
        <f>M7 *AHP!$G$6</f>
        <v>8.5885722675360012E-3</v>
      </c>
      <c r="V7" s="20" t="s">
        <v>27</v>
      </c>
      <c r="W7" s="28">
        <f t="shared" si="10"/>
        <v>3.2475996283956567E-2</v>
      </c>
      <c r="X7" s="21">
        <f t="shared" si="5"/>
        <v>3.2262356773592293E-2</v>
      </c>
      <c r="AA7" s="29">
        <f t="shared" si="6"/>
        <v>0.49834997725247698</v>
      </c>
      <c r="AC7" s="37">
        <f t="shared" si="7"/>
        <v>10</v>
      </c>
      <c r="AD7" s="33">
        <f t="shared" si="8"/>
        <v>0.49834997725247698</v>
      </c>
      <c r="AE7" s="31" t="str">
        <f t="shared" si="9"/>
        <v>Baik</v>
      </c>
    </row>
    <row r="8" spans="1:31" x14ac:dyDescent="0.25">
      <c r="A8" s="20" t="s">
        <v>29</v>
      </c>
      <c r="B8" s="20">
        <v>4</v>
      </c>
      <c r="C8" s="20">
        <v>5</v>
      </c>
      <c r="D8" s="20">
        <v>4</v>
      </c>
      <c r="E8" s="20">
        <v>4</v>
      </c>
      <c r="F8" s="20">
        <v>3</v>
      </c>
      <c r="I8" s="21">
        <f t="shared" si="0"/>
        <v>0.2191986497404764</v>
      </c>
      <c r="J8" s="21">
        <f t="shared" si="1"/>
        <v>0.27607881518711636</v>
      </c>
      <c r="K8" s="21">
        <f t="shared" si="2"/>
        <v>0.21952851997938069</v>
      </c>
      <c r="L8" s="21">
        <f t="shared" si="3"/>
        <v>0.23735633163877065</v>
      </c>
      <c r="M8" s="21">
        <f t="shared" si="4"/>
        <v>0.18498792479346221</v>
      </c>
      <c r="O8" s="27">
        <f>I8 *AHP!$G$2</f>
        <v>0.11021735453608003</v>
      </c>
      <c r="P8" s="27">
        <f>J8 *AHP!$G$3</f>
        <v>7.1844428430409585E-2</v>
      </c>
      <c r="Q8" s="27">
        <f>K8 *AHP!$G$4</f>
        <v>2.9493753377592778E-2</v>
      </c>
      <c r="R8" s="27">
        <f>L8 *AHP!$G$5</f>
        <v>1.608745836995213E-2</v>
      </c>
      <c r="S8" s="27">
        <f>M8 *AHP!$G$6</f>
        <v>6.4414292006520013E-3</v>
      </c>
      <c r="V8" s="20" t="s">
        <v>29</v>
      </c>
      <c r="W8" s="28">
        <f>SQRT(
(O8-$P$24)^2 +
(P8-$P$25)^2 +
(Q8-$P$26)^2 +
(R8-$P$27)^2 +
(S8-$P$28)^2
)</f>
        <v>2.8885892555482278E-2</v>
      </c>
      <c r="X8" s="21">
        <f t="shared" si="5"/>
        <v>4.0915583366422016E-2</v>
      </c>
      <c r="AA8" s="29">
        <f t="shared" si="6"/>
        <v>0.58617074819735093</v>
      </c>
      <c r="AC8" s="37">
        <f t="shared" si="7"/>
        <v>4</v>
      </c>
      <c r="AD8" s="33">
        <f t="shared" si="8"/>
        <v>0.58617074819735093</v>
      </c>
      <c r="AE8" s="31" t="str">
        <f t="shared" si="9"/>
        <v>Baik</v>
      </c>
    </row>
    <row r="9" spans="1:31" x14ac:dyDescent="0.25">
      <c r="A9" s="20" t="s">
        <v>31</v>
      </c>
      <c r="B9" s="20">
        <v>4</v>
      </c>
      <c r="C9" s="20">
        <v>5</v>
      </c>
      <c r="D9" s="20">
        <v>4</v>
      </c>
      <c r="E9" s="20">
        <v>3</v>
      </c>
      <c r="F9" s="20">
        <v>3</v>
      </c>
      <c r="I9" s="21">
        <f t="shared" si="0"/>
        <v>0.2191986497404764</v>
      </c>
      <c r="J9" s="21">
        <f t="shared" si="1"/>
        <v>0.27607881518711636</v>
      </c>
      <c r="K9" s="21">
        <f t="shared" si="2"/>
        <v>0.21952851997938069</v>
      </c>
      <c r="L9" s="21">
        <f t="shared" si="3"/>
        <v>0.17801724872907798</v>
      </c>
      <c r="M9" s="21">
        <f t="shared" si="4"/>
        <v>0.18498792479346221</v>
      </c>
      <c r="O9" s="27">
        <f>I9 *AHP!$G$2</f>
        <v>0.11021735453608003</v>
      </c>
      <c r="P9" s="27">
        <f>J9 *AHP!$G$3</f>
        <v>7.1844428430409585E-2</v>
      </c>
      <c r="Q9" s="27">
        <f>K9 *AHP!$G$4</f>
        <v>2.9493753377592778E-2</v>
      </c>
      <c r="R9" s="27">
        <f>L9 *AHP!$G$5</f>
        <v>1.2065593777464098E-2</v>
      </c>
      <c r="S9" s="27">
        <f>M9 *AHP!$G$6</f>
        <v>6.4414292006520013E-3</v>
      </c>
      <c r="V9" s="20" t="s">
        <v>31</v>
      </c>
      <c r="W9" s="28">
        <f t="shared" si="10"/>
        <v>2.9713986153456311E-2</v>
      </c>
      <c r="X9" s="21">
        <f t="shared" si="5"/>
        <v>4.0717435668449466E-2</v>
      </c>
      <c r="AA9" s="29">
        <f t="shared" si="6"/>
        <v>0.57811463428082344</v>
      </c>
      <c r="AC9" s="37">
        <f t="shared" si="7"/>
        <v>5</v>
      </c>
      <c r="AD9" s="33">
        <f t="shared" si="8"/>
        <v>0.57811463428082344</v>
      </c>
      <c r="AE9" s="31" t="str">
        <f t="shared" si="9"/>
        <v>Baik</v>
      </c>
    </row>
    <row r="10" spans="1:31" x14ac:dyDescent="0.25">
      <c r="A10" s="20" t="s">
        <v>33</v>
      </c>
      <c r="B10" s="20">
        <v>4</v>
      </c>
      <c r="C10" s="20">
        <v>4</v>
      </c>
      <c r="D10" s="20">
        <v>5</v>
      </c>
      <c r="E10" s="20">
        <v>4</v>
      </c>
      <c r="F10" s="20">
        <v>3</v>
      </c>
      <c r="I10" s="21">
        <f t="shared" si="0"/>
        <v>0.2191986497404764</v>
      </c>
      <c r="J10" s="21">
        <f t="shared" si="1"/>
        <v>0.22086305214969307</v>
      </c>
      <c r="K10" s="21">
        <f t="shared" si="2"/>
        <v>0.27441064997422587</v>
      </c>
      <c r="L10" s="21">
        <f t="shared" si="3"/>
        <v>0.23735633163877065</v>
      </c>
      <c r="M10" s="21">
        <f t="shared" si="4"/>
        <v>0.18498792479346221</v>
      </c>
      <c r="O10" s="27">
        <f>I10 *AHP!$G$2</f>
        <v>0.11021735453608003</v>
      </c>
      <c r="P10" s="27">
        <f>J10 *AHP!$G$3</f>
        <v>5.7475542744327666E-2</v>
      </c>
      <c r="Q10" s="27">
        <f>K10 *AHP!$G$4</f>
        <v>3.6867191721990974E-2</v>
      </c>
      <c r="R10" s="27">
        <f>L10 *AHP!$G$5</f>
        <v>1.608745836995213E-2</v>
      </c>
      <c r="S10" s="27">
        <f>M10 *AHP!$G$6</f>
        <v>6.4414292006520013E-3</v>
      </c>
      <c r="V10" s="20" t="s">
        <v>33</v>
      </c>
      <c r="W10" s="28">
        <f t="shared" si="10"/>
        <v>3.1408471334465081E-2</v>
      </c>
      <c r="X10" s="21">
        <f t="shared" si="5"/>
        <v>3.4896892607959883E-2</v>
      </c>
      <c r="AA10" s="29">
        <f t="shared" si="6"/>
        <v>0.5263057245000865</v>
      </c>
      <c r="AC10" s="37">
        <f t="shared" si="7"/>
        <v>6</v>
      </c>
      <c r="AD10" s="33">
        <f t="shared" si="8"/>
        <v>0.5263057245000865</v>
      </c>
      <c r="AE10" s="31" t="str">
        <f t="shared" si="9"/>
        <v>Baik</v>
      </c>
    </row>
    <row r="11" spans="1:31" x14ac:dyDescent="0.25">
      <c r="A11" s="20" t="s">
        <v>35</v>
      </c>
      <c r="B11" s="20">
        <v>3</v>
      </c>
      <c r="C11" s="20">
        <v>3</v>
      </c>
      <c r="D11" s="20">
        <v>5</v>
      </c>
      <c r="E11" s="20">
        <v>5</v>
      </c>
      <c r="F11" s="20">
        <v>4</v>
      </c>
      <c r="I11" s="21">
        <f t="shared" si="0"/>
        <v>0.16439898730535729</v>
      </c>
      <c r="J11" s="21">
        <f t="shared" si="1"/>
        <v>0.16564728911226981</v>
      </c>
      <c r="K11" s="21">
        <f t="shared" si="2"/>
        <v>0.27441064997422587</v>
      </c>
      <c r="L11" s="21">
        <f t="shared" si="3"/>
        <v>0.29669541454846332</v>
      </c>
      <c r="M11" s="21">
        <f t="shared" si="4"/>
        <v>0.24665056639128294</v>
      </c>
      <c r="O11" s="27">
        <f>I11 *AHP!$G$2</f>
        <v>8.2663015902060016E-2</v>
      </c>
      <c r="P11" s="27">
        <f>J11 *AHP!$G$3</f>
        <v>4.3106657058245755E-2</v>
      </c>
      <c r="Q11" s="27">
        <f>K11 *AHP!$G$4</f>
        <v>3.6867191721990974E-2</v>
      </c>
      <c r="R11" s="27">
        <f>L11 *AHP!$G$5</f>
        <v>2.0109322962440161E-2</v>
      </c>
      <c r="S11" s="27">
        <f>M11 *AHP!$G$6</f>
        <v>8.5885722675360012E-3</v>
      </c>
      <c r="V11" s="20" t="s">
        <v>35</v>
      </c>
      <c r="W11" s="28">
        <f t="shared" si="10"/>
        <v>6.2299813058069628E-2</v>
      </c>
      <c r="X11" s="21">
        <f t="shared" si="5"/>
        <v>1.6934644213135102E-2</v>
      </c>
      <c r="AA11" s="29">
        <f t="shared" si="6"/>
        <v>0.21372827929105365</v>
      </c>
      <c r="AC11" s="37">
        <f t="shared" si="7"/>
        <v>20</v>
      </c>
      <c r="AD11" s="33">
        <f t="shared" si="8"/>
        <v>0.21372827929105365</v>
      </c>
      <c r="AE11" s="31" t="str">
        <f t="shared" si="9"/>
        <v>Terburuk</v>
      </c>
    </row>
    <row r="12" spans="1:31" x14ac:dyDescent="0.25">
      <c r="A12" s="20" t="s">
        <v>37</v>
      </c>
      <c r="B12" s="20">
        <v>4</v>
      </c>
      <c r="C12" s="20">
        <v>4</v>
      </c>
      <c r="D12" s="20">
        <v>4</v>
      </c>
      <c r="E12" s="20">
        <v>3</v>
      </c>
      <c r="F12" s="20">
        <v>3</v>
      </c>
      <c r="I12" s="21">
        <f t="shared" si="0"/>
        <v>0.2191986497404764</v>
      </c>
      <c r="J12" s="21">
        <f t="shared" si="1"/>
        <v>0.22086305214969307</v>
      </c>
      <c r="K12" s="21">
        <f t="shared" si="2"/>
        <v>0.21952851997938069</v>
      </c>
      <c r="L12" s="21">
        <f t="shared" si="3"/>
        <v>0.17801724872907798</v>
      </c>
      <c r="M12" s="21">
        <f t="shared" si="4"/>
        <v>0.18498792479346221</v>
      </c>
      <c r="O12" s="27">
        <f>I12 *AHP!$G$2</f>
        <v>0.11021735453608003</v>
      </c>
      <c r="P12" s="27">
        <f>J12 *AHP!$G$3</f>
        <v>5.7475542744327666E-2</v>
      </c>
      <c r="Q12" s="27">
        <f>K12 *AHP!$G$4</f>
        <v>2.9493753377592778E-2</v>
      </c>
      <c r="R12" s="27">
        <f>L12 *AHP!$G$5</f>
        <v>1.2065593777464098E-2</v>
      </c>
      <c r="S12" s="27">
        <f>M12 *AHP!$G$6</f>
        <v>6.4414292006520013E-3</v>
      </c>
      <c r="V12" s="20" t="s">
        <v>37</v>
      </c>
      <c r="W12" s="28">
        <f t="shared" si="10"/>
        <v>3.3005845679023031E-2</v>
      </c>
      <c r="X12" s="21">
        <f t="shared" si="5"/>
        <v>3.2225997887346348E-2</v>
      </c>
      <c r="AA12" s="29">
        <f t="shared" si="6"/>
        <v>0.4940224915544259</v>
      </c>
      <c r="AC12" s="37">
        <f t="shared" si="7"/>
        <v>12</v>
      </c>
      <c r="AD12" s="33">
        <f t="shared" si="8"/>
        <v>0.4940224915544259</v>
      </c>
      <c r="AE12" s="31" t="str">
        <f t="shared" si="9"/>
        <v>Baik</v>
      </c>
    </row>
    <row r="13" spans="1:31" x14ac:dyDescent="0.25">
      <c r="A13" s="20" t="s">
        <v>39</v>
      </c>
      <c r="B13" s="20">
        <v>5</v>
      </c>
      <c r="C13" s="20">
        <v>4</v>
      </c>
      <c r="D13" s="20">
        <v>3</v>
      </c>
      <c r="E13" s="20">
        <v>3</v>
      </c>
      <c r="F13" s="20">
        <v>3</v>
      </c>
      <c r="I13" s="21">
        <f t="shared" si="0"/>
        <v>0.2739983121755955</v>
      </c>
      <c r="J13" s="21">
        <f t="shared" si="1"/>
        <v>0.22086305214969307</v>
      </c>
      <c r="K13" s="21">
        <f t="shared" si="2"/>
        <v>0.16464638998453551</v>
      </c>
      <c r="L13" s="21">
        <f t="shared" si="3"/>
        <v>0.17801724872907798</v>
      </c>
      <c r="M13" s="21">
        <f t="shared" si="4"/>
        <v>0.18498792479346221</v>
      </c>
      <c r="O13" s="27">
        <f>I13 *AHP!$G$2</f>
        <v>0.13777169317010005</v>
      </c>
      <c r="P13" s="27">
        <f>J13 *AHP!$G$3</f>
        <v>5.7475542744327666E-2</v>
      </c>
      <c r="Q13" s="27">
        <f>K13 *AHP!$G$4</f>
        <v>2.2120315033194581E-2</v>
      </c>
      <c r="R13" s="27">
        <f>L13 *AHP!$G$5</f>
        <v>1.2065593777464098E-2</v>
      </c>
      <c r="S13" s="27">
        <f>M13 *AHP!$G$6</f>
        <v>6.4414292006520013E-3</v>
      </c>
      <c r="V13" s="20" t="s">
        <v>39</v>
      </c>
      <c r="W13" s="28">
        <f t="shared" si="10"/>
        <v>2.2209165911514103E-2</v>
      </c>
      <c r="X13" s="21">
        <f t="shared" si="5"/>
        <v>5.7112801362666089E-2</v>
      </c>
      <c r="AA13" s="29">
        <f t="shared" si="6"/>
        <v>0.72001241680319072</v>
      </c>
      <c r="AC13" s="37">
        <f t="shared" si="7"/>
        <v>3</v>
      </c>
      <c r="AD13" s="33">
        <f t="shared" si="8"/>
        <v>0.72001241680319072</v>
      </c>
      <c r="AE13" s="31" t="str">
        <f t="shared" si="9"/>
        <v>Sangat Baik</v>
      </c>
    </row>
    <row r="14" spans="1:31" x14ac:dyDescent="0.25">
      <c r="A14" s="20" t="s">
        <v>41</v>
      </c>
      <c r="B14" s="20">
        <v>4</v>
      </c>
      <c r="C14" s="20">
        <v>4</v>
      </c>
      <c r="D14" s="20">
        <v>4</v>
      </c>
      <c r="E14" s="20">
        <v>4</v>
      </c>
      <c r="F14" s="20">
        <v>4</v>
      </c>
      <c r="I14" s="21">
        <f t="shared" si="0"/>
        <v>0.2191986497404764</v>
      </c>
      <c r="J14" s="21">
        <f t="shared" si="1"/>
        <v>0.22086305214969307</v>
      </c>
      <c r="K14" s="21">
        <f t="shared" si="2"/>
        <v>0.21952851997938069</v>
      </c>
      <c r="L14" s="21">
        <f t="shared" si="3"/>
        <v>0.23735633163877065</v>
      </c>
      <c r="M14" s="21">
        <f t="shared" si="4"/>
        <v>0.24665056639128294</v>
      </c>
      <c r="O14" s="27">
        <f>I14 *AHP!$G$2</f>
        <v>0.11021735453608003</v>
      </c>
      <c r="P14" s="27">
        <f>J14 *AHP!$G$3</f>
        <v>5.7475542744327666E-2</v>
      </c>
      <c r="Q14" s="27">
        <f>K14 *AHP!$G$4</f>
        <v>2.9493753377592778E-2</v>
      </c>
      <c r="R14" s="27">
        <f>L14 *AHP!$G$5</f>
        <v>1.608745836995213E-2</v>
      </c>
      <c r="S14" s="27">
        <f>M14 *AHP!$G$6</f>
        <v>8.5885722675360012E-3</v>
      </c>
      <c r="V14" s="20" t="s">
        <v>41</v>
      </c>
      <c r="W14" s="28">
        <f t="shared" si="10"/>
        <v>3.2475996283956567E-2</v>
      </c>
      <c r="X14" s="21">
        <f t="shared" si="5"/>
        <v>3.2262356773592293E-2</v>
      </c>
      <c r="AA14" s="29">
        <f t="shared" si="6"/>
        <v>0.49834997725247698</v>
      </c>
      <c r="AC14" s="37">
        <f t="shared" si="7"/>
        <v>10</v>
      </c>
      <c r="AD14" s="33">
        <f t="shared" si="8"/>
        <v>0.49834997725247698</v>
      </c>
      <c r="AE14" s="31" t="str">
        <f t="shared" si="9"/>
        <v>Baik</v>
      </c>
    </row>
    <row r="15" spans="1:31" x14ac:dyDescent="0.25">
      <c r="A15" s="20" t="s">
        <v>43</v>
      </c>
      <c r="B15" s="20">
        <v>4</v>
      </c>
      <c r="C15" s="20">
        <v>3</v>
      </c>
      <c r="D15" s="20">
        <v>3</v>
      </c>
      <c r="E15" s="20">
        <v>3</v>
      </c>
      <c r="F15" s="20">
        <v>4</v>
      </c>
      <c r="I15" s="21">
        <f t="shared" si="0"/>
        <v>0.2191986497404764</v>
      </c>
      <c r="J15" s="21">
        <f t="shared" si="1"/>
        <v>0.16564728911226981</v>
      </c>
      <c r="K15" s="21">
        <f t="shared" si="2"/>
        <v>0.16464638998453551</v>
      </c>
      <c r="L15" s="21">
        <f t="shared" si="3"/>
        <v>0.17801724872907798</v>
      </c>
      <c r="M15" s="21">
        <f t="shared" si="4"/>
        <v>0.24665056639128294</v>
      </c>
      <c r="O15" s="27">
        <f>I15 *AHP!$G$2</f>
        <v>0.11021735453608003</v>
      </c>
      <c r="P15" s="27">
        <f>J15 *AHP!$G$3</f>
        <v>4.3106657058245755E-2</v>
      </c>
      <c r="Q15" s="27">
        <f>K15 *AHP!$G$4</f>
        <v>2.2120315033194581E-2</v>
      </c>
      <c r="R15" s="27">
        <f>L15 *AHP!$G$5</f>
        <v>1.2065593777464098E-2</v>
      </c>
      <c r="S15" s="27">
        <f>M15 *AHP!$G$6</f>
        <v>8.5885722675360012E-3</v>
      </c>
      <c r="V15" s="20" t="s">
        <v>43</v>
      </c>
      <c r="W15" s="28">
        <f t="shared" si="10"/>
        <v>4.3424807721756019E-2</v>
      </c>
      <c r="X15" s="21">
        <f t="shared" si="5"/>
        <v>2.7637868964663612E-2</v>
      </c>
      <c r="AA15" s="29">
        <f t="shared" si="6"/>
        <v>0.38892243092139706</v>
      </c>
      <c r="AC15" s="37">
        <f t="shared" si="7"/>
        <v>16</v>
      </c>
      <c r="AD15" s="33">
        <f t="shared" si="8"/>
        <v>0.38892243092139706</v>
      </c>
      <c r="AE15" s="31" t="str">
        <f t="shared" si="9"/>
        <v>Terburuk</v>
      </c>
    </row>
    <row r="16" spans="1:31" x14ac:dyDescent="0.25">
      <c r="A16" s="20" t="s">
        <v>45</v>
      </c>
      <c r="B16" s="20">
        <v>4</v>
      </c>
      <c r="C16" s="20">
        <v>4</v>
      </c>
      <c r="D16" s="20">
        <v>3</v>
      </c>
      <c r="E16" s="20">
        <v>3</v>
      </c>
      <c r="F16" s="20">
        <v>4</v>
      </c>
      <c r="I16" s="21">
        <f t="shared" si="0"/>
        <v>0.2191986497404764</v>
      </c>
      <c r="J16" s="21">
        <f t="shared" si="1"/>
        <v>0.22086305214969307</v>
      </c>
      <c r="K16" s="21">
        <f t="shared" si="2"/>
        <v>0.16464638998453551</v>
      </c>
      <c r="L16" s="21">
        <f t="shared" si="3"/>
        <v>0.17801724872907798</v>
      </c>
      <c r="M16" s="21">
        <f t="shared" si="4"/>
        <v>0.24665056639128294</v>
      </c>
      <c r="O16" s="27">
        <f>I16 *AHP!$G$2</f>
        <v>0.11021735453608003</v>
      </c>
      <c r="P16" s="27">
        <f>J16 *AHP!$G$3</f>
        <v>5.7475542744327666E-2</v>
      </c>
      <c r="Q16" s="27">
        <f>K16 *AHP!$G$4</f>
        <v>2.2120315033194581E-2</v>
      </c>
      <c r="R16" s="27">
        <f>L16 *AHP!$G$5</f>
        <v>1.2065593777464098E-2</v>
      </c>
      <c r="S16" s="27">
        <f>M16 *AHP!$G$6</f>
        <v>8.5885722675360012E-3</v>
      </c>
      <c r="V16" s="20" t="s">
        <v>45</v>
      </c>
      <c r="W16" s="28">
        <f t="shared" si="10"/>
        <v>3.5585380398309815E-2</v>
      </c>
      <c r="X16" s="21">
        <f t="shared" si="5"/>
        <v>3.1149906529034814E-2</v>
      </c>
      <c r="AA16" s="29">
        <f t="shared" si="6"/>
        <v>0.4667681516518844</v>
      </c>
      <c r="AC16" s="37">
        <f t="shared" si="7"/>
        <v>15</v>
      </c>
      <c r="AD16" s="33">
        <f t="shared" si="8"/>
        <v>0.4667681516518844</v>
      </c>
      <c r="AE16" s="31" t="str">
        <f t="shared" si="9"/>
        <v>Baik</v>
      </c>
    </row>
    <row r="17" spans="1:31" x14ac:dyDescent="0.25">
      <c r="A17" s="20" t="s">
        <v>47</v>
      </c>
      <c r="B17" s="20">
        <v>4</v>
      </c>
      <c r="C17" s="20">
        <v>3</v>
      </c>
      <c r="D17" s="20">
        <v>3</v>
      </c>
      <c r="E17" s="20">
        <v>3</v>
      </c>
      <c r="F17" s="20">
        <v>4</v>
      </c>
      <c r="I17" s="21">
        <f t="shared" si="0"/>
        <v>0.2191986497404764</v>
      </c>
      <c r="J17" s="21">
        <f t="shared" si="1"/>
        <v>0.16564728911226981</v>
      </c>
      <c r="K17" s="21">
        <f t="shared" si="2"/>
        <v>0.16464638998453551</v>
      </c>
      <c r="L17" s="21">
        <f t="shared" si="3"/>
        <v>0.17801724872907798</v>
      </c>
      <c r="M17" s="21">
        <f t="shared" si="4"/>
        <v>0.24665056639128294</v>
      </c>
      <c r="O17" s="27">
        <f>I17 *AHP!$G$2</f>
        <v>0.11021735453608003</v>
      </c>
      <c r="P17" s="27">
        <f>J17 *AHP!$G$3</f>
        <v>4.3106657058245755E-2</v>
      </c>
      <c r="Q17" s="27">
        <f>K17 *AHP!$G$4</f>
        <v>2.2120315033194581E-2</v>
      </c>
      <c r="R17" s="27">
        <f>L17 *AHP!$G$5</f>
        <v>1.2065593777464098E-2</v>
      </c>
      <c r="S17" s="27">
        <f>M17 *AHP!$G$6</f>
        <v>8.5885722675360012E-3</v>
      </c>
      <c r="V17" s="20" t="s">
        <v>47</v>
      </c>
      <c r="W17" s="28">
        <f t="shared" si="10"/>
        <v>4.3424807721756019E-2</v>
      </c>
      <c r="X17" s="21">
        <f t="shared" si="5"/>
        <v>2.7637868964663612E-2</v>
      </c>
      <c r="AA17" s="29">
        <f t="shared" si="6"/>
        <v>0.38892243092139706</v>
      </c>
      <c r="AC17" s="37">
        <f t="shared" si="7"/>
        <v>16</v>
      </c>
      <c r="AD17" s="33">
        <f t="shared" si="8"/>
        <v>0.38892243092139706</v>
      </c>
      <c r="AE17" s="31" t="str">
        <f t="shared" si="9"/>
        <v>Terburuk</v>
      </c>
    </row>
    <row r="18" spans="1:31" x14ac:dyDescent="0.25">
      <c r="A18" s="20" t="s">
        <v>49</v>
      </c>
      <c r="B18" s="20">
        <v>4</v>
      </c>
      <c r="C18" s="20">
        <v>3</v>
      </c>
      <c r="D18" s="20">
        <v>3</v>
      </c>
      <c r="E18" s="20">
        <v>3</v>
      </c>
      <c r="F18" s="20">
        <v>4</v>
      </c>
      <c r="I18" s="21">
        <f t="shared" si="0"/>
        <v>0.2191986497404764</v>
      </c>
      <c r="J18" s="21">
        <f t="shared" si="1"/>
        <v>0.16564728911226981</v>
      </c>
      <c r="K18" s="21">
        <f t="shared" si="2"/>
        <v>0.16464638998453551</v>
      </c>
      <c r="L18" s="21">
        <f t="shared" si="3"/>
        <v>0.17801724872907798</v>
      </c>
      <c r="M18" s="21">
        <f t="shared" si="4"/>
        <v>0.24665056639128294</v>
      </c>
      <c r="O18" s="27">
        <f>I18 *AHP!$G$2</f>
        <v>0.11021735453608003</v>
      </c>
      <c r="P18" s="27">
        <f>J18 *AHP!$G$3</f>
        <v>4.3106657058245755E-2</v>
      </c>
      <c r="Q18" s="27">
        <f>K18 *AHP!$G$4</f>
        <v>2.2120315033194581E-2</v>
      </c>
      <c r="R18" s="27">
        <f>L18 *AHP!$G$5</f>
        <v>1.2065593777464098E-2</v>
      </c>
      <c r="S18" s="27">
        <f>M18 *AHP!$G$6</f>
        <v>8.5885722675360012E-3</v>
      </c>
      <c r="V18" s="20" t="s">
        <v>49</v>
      </c>
      <c r="W18" s="28">
        <f t="shared" si="10"/>
        <v>4.3424807721756019E-2</v>
      </c>
      <c r="X18" s="21">
        <f t="shared" si="5"/>
        <v>2.7637868964663612E-2</v>
      </c>
      <c r="AA18" s="29">
        <f t="shared" si="6"/>
        <v>0.38892243092139706</v>
      </c>
      <c r="AC18" s="37">
        <f t="shared" si="7"/>
        <v>16</v>
      </c>
      <c r="AD18" s="33">
        <f t="shared" si="8"/>
        <v>0.38892243092139706</v>
      </c>
      <c r="AE18" s="31" t="str">
        <f t="shared" si="9"/>
        <v>Terburuk</v>
      </c>
    </row>
    <row r="19" spans="1:31" x14ac:dyDescent="0.25">
      <c r="A19" s="20" t="s">
        <v>51</v>
      </c>
      <c r="B19" s="20">
        <v>4</v>
      </c>
      <c r="C19" s="20">
        <v>4</v>
      </c>
      <c r="D19" s="20">
        <v>3</v>
      </c>
      <c r="E19" s="20">
        <v>4</v>
      </c>
      <c r="F19" s="20">
        <v>5</v>
      </c>
      <c r="I19" s="21">
        <f t="shared" si="0"/>
        <v>0.2191986497404764</v>
      </c>
      <c r="J19" s="21">
        <f t="shared" si="1"/>
        <v>0.22086305214969307</v>
      </c>
      <c r="K19" s="21">
        <f t="shared" si="2"/>
        <v>0.16464638998453551</v>
      </c>
      <c r="L19" s="21">
        <f t="shared" si="3"/>
        <v>0.23735633163877065</v>
      </c>
      <c r="M19" s="21">
        <f t="shared" si="4"/>
        <v>0.30831320798910367</v>
      </c>
      <c r="O19" s="27">
        <f>I19 *AHP!$G$2</f>
        <v>0.11021735453608003</v>
      </c>
      <c r="P19" s="27">
        <f>J19 *AHP!$G$3</f>
        <v>5.7475542744327666E-2</v>
      </c>
      <c r="Q19" s="27">
        <f>K19 *AHP!$G$4</f>
        <v>2.2120315033194581E-2</v>
      </c>
      <c r="R19" s="27">
        <f>L19 *AHP!$G$5</f>
        <v>1.608745836995213E-2</v>
      </c>
      <c r="S19" s="27">
        <f>M19 *AHP!$G$6</f>
        <v>1.073571533442E-2</v>
      </c>
      <c r="V19" s="20" t="s">
        <v>51</v>
      </c>
      <c r="W19" s="28">
        <f t="shared" si="10"/>
        <v>3.5225618950414851E-2</v>
      </c>
      <c r="X19" s="21">
        <f t="shared" si="5"/>
        <v>3.133499398784443E-2</v>
      </c>
      <c r="AA19" s="29">
        <f t="shared" si="6"/>
        <v>0.47077381959974351</v>
      </c>
      <c r="AC19" s="37">
        <f t="shared" si="7"/>
        <v>14</v>
      </c>
      <c r="AD19" s="33">
        <f t="shared" si="8"/>
        <v>0.47077381959974351</v>
      </c>
      <c r="AE19" s="31" t="str">
        <f t="shared" si="9"/>
        <v>Baik</v>
      </c>
    </row>
    <row r="20" spans="1:31" x14ac:dyDescent="0.25">
      <c r="A20" s="20" t="s">
        <v>53</v>
      </c>
      <c r="B20" s="20">
        <v>4</v>
      </c>
      <c r="C20" s="20">
        <v>4</v>
      </c>
      <c r="D20" s="20">
        <v>5</v>
      </c>
      <c r="E20" s="20">
        <v>4</v>
      </c>
      <c r="F20" s="20">
        <v>3</v>
      </c>
      <c r="I20" s="21">
        <f t="shared" si="0"/>
        <v>0.2191986497404764</v>
      </c>
      <c r="J20" s="21">
        <f t="shared" si="1"/>
        <v>0.22086305214969307</v>
      </c>
      <c r="K20" s="21">
        <f t="shared" si="2"/>
        <v>0.27441064997422587</v>
      </c>
      <c r="L20" s="21">
        <f t="shared" si="3"/>
        <v>0.23735633163877065</v>
      </c>
      <c r="M20" s="21">
        <f t="shared" si="4"/>
        <v>0.18498792479346221</v>
      </c>
      <c r="O20" s="27">
        <f>I20 *AHP!$G$2</f>
        <v>0.11021735453608003</v>
      </c>
      <c r="P20" s="27">
        <f>J20 *AHP!$G$3</f>
        <v>5.7475542744327666E-2</v>
      </c>
      <c r="Q20" s="27">
        <f>K20 *AHP!$G$4</f>
        <v>3.6867191721990974E-2</v>
      </c>
      <c r="R20" s="27">
        <f>L20 *AHP!$G$5</f>
        <v>1.608745836995213E-2</v>
      </c>
      <c r="S20" s="27">
        <f>M20 *AHP!$G$6</f>
        <v>6.4414292006520013E-3</v>
      </c>
      <c r="V20" s="20" t="s">
        <v>53</v>
      </c>
      <c r="W20" s="28">
        <f t="shared" si="10"/>
        <v>3.1408471334465081E-2</v>
      </c>
      <c r="X20" s="21">
        <f t="shared" si="5"/>
        <v>3.4896892607959883E-2</v>
      </c>
      <c r="AA20" s="29">
        <f t="shared" si="6"/>
        <v>0.5263057245000865</v>
      </c>
      <c r="AC20" s="37">
        <f t="shared" si="7"/>
        <v>6</v>
      </c>
      <c r="AD20" s="33">
        <f t="shared" si="8"/>
        <v>0.5263057245000865</v>
      </c>
      <c r="AE20" s="31" t="str">
        <f t="shared" si="9"/>
        <v>Baik</v>
      </c>
    </row>
    <row r="21" spans="1:31" x14ac:dyDescent="0.25">
      <c r="A21" s="20" t="s">
        <v>55</v>
      </c>
      <c r="B21" s="20">
        <v>3</v>
      </c>
      <c r="C21" s="20">
        <v>4</v>
      </c>
      <c r="D21" s="20">
        <v>5</v>
      </c>
      <c r="E21" s="20">
        <v>5</v>
      </c>
      <c r="F21" s="20">
        <v>5</v>
      </c>
      <c r="I21" s="21">
        <f t="shared" si="0"/>
        <v>0.16439898730535729</v>
      </c>
      <c r="J21" s="21">
        <f t="shared" si="1"/>
        <v>0.22086305214969307</v>
      </c>
      <c r="K21" s="21">
        <f t="shared" si="2"/>
        <v>0.27441064997422587</v>
      </c>
      <c r="L21" s="21">
        <f t="shared" si="3"/>
        <v>0.29669541454846332</v>
      </c>
      <c r="M21" s="21">
        <f>F21 / SQRT(SUMSQ($F$2:$F$21))</f>
        <v>0.30831320798910367</v>
      </c>
      <c r="O21" s="27">
        <f>I21 *AHP!$G$2</f>
        <v>8.2663015902060016E-2</v>
      </c>
      <c r="P21" s="27">
        <f>J21 *AHP!$G$3</f>
        <v>5.7475542744327666E-2</v>
      </c>
      <c r="Q21" s="27">
        <f>K21 *AHP!$G$4</f>
        <v>3.6867191721990974E-2</v>
      </c>
      <c r="R21" s="27">
        <f>L21 *AHP!$G$5</f>
        <v>2.0109322962440161E-2</v>
      </c>
      <c r="S21" s="27">
        <f>M21 *AHP!$G$6</f>
        <v>1.073571533442E-2</v>
      </c>
      <c r="V21" s="20" t="s">
        <v>55</v>
      </c>
      <c r="W21" s="28">
        <f t="shared" si="10"/>
        <v>5.7314249504287276E-2</v>
      </c>
      <c r="X21" s="21">
        <f t="shared" si="5"/>
        <v>2.2105131239951774E-2</v>
      </c>
      <c r="AA21" s="29">
        <f t="shared" si="6"/>
        <v>0.27833421808133707</v>
      </c>
      <c r="AC21" s="37">
        <f t="shared" si="7"/>
        <v>19</v>
      </c>
      <c r="AD21" s="33">
        <f t="shared" si="8"/>
        <v>0.27833421808133707</v>
      </c>
      <c r="AE21" s="31" t="str">
        <f t="shared" si="9"/>
        <v>Terburuk</v>
      </c>
    </row>
    <row r="22" spans="1:31" x14ac:dyDescent="0.25">
      <c r="O22" s="34" t="s">
        <v>67</v>
      </c>
      <c r="P22" s="34"/>
      <c r="Q22" s="34"/>
    </row>
    <row r="23" spans="1:31" x14ac:dyDescent="0.25">
      <c r="O23" s="32" t="s">
        <v>68</v>
      </c>
      <c r="P23" s="32" t="s">
        <v>69</v>
      </c>
      <c r="Q23" s="32" t="s">
        <v>70</v>
      </c>
    </row>
    <row r="24" spans="1:31" x14ac:dyDescent="0.25">
      <c r="O24" s="21" t="s">
        <v>2</v>
      </c>
      <c r="P24" s="27">
        <f>MAX(O2:O21)</f>
        <v>0.13777169317010005</v>
      </c>
      <c r="Q24" s="27">
        <f>MIN(O2:O21)</f>
        <v>8.2663015902060016E-2</v>
      </c>
    </row>
    <row r="25" spans="1:31" x14ac:dyDescent="0.25">
      <c r="O25" s="21" t="s">
        <v>4</v>
      </c>
      <c r="P25" s="27">
        <f>MAX(P2:P21)</f>
        <v>7.1844428430409585E-2</v>
      </c>
      <c r="Q25" s="27">
        <f>MIN(P2:P21)</f>
        <v>4.3106657058245755E-2</v>
      </c>
    </row>
    <row r="26" spans="1:31" x14ac:dyDescent="0.25">
      <c r="O26" s="21" t="s">
        <v>6</v>
      </c>
      <c r="P26" s="27">
        <f>MAX(Q2:Q21)</f>
        <v>3.6867191721990974E-2</v>
      </c>
      <c r="Q26" s="27">
        <f>MIN(Q2:Q21)</f>
        <v>2.2120315033194581E-2</v>
      </c>
    </row>
    <row r="27" spans="1:31" x14ac:dyDescent="0.25">
      <c r="O27" s="21" t="s">
        <v>8</v>
      </c>
      <c r="P27" s="27">
        <f>MAX(R2:R21)</f>
        <v>2.0109322962440161E-2</v>
      </c>
      <c r="Q27" s="27">
        <f>MIN(R2:R21)</f>
        <v>1.2065593777464098E-2</v>
      </c>
    </row>
    <row r="28" spans="1:31" x14ac:dyDescent="0.25">
      <c r="O28" s="21" t="s">
        <v>10</v>
      </c>
      <c r="P28" s="27">
        <f>MIN(S2:S21)</f>
        <v>4.2942861337680006E-3</v>
      </c>
      <c r="Q28" s="27">
        <f>MAX(S2:S21)</f>
        <v>1.073571533442E-2</v>
      </c>
    </row>
  </sheetData>
  <mergeCells count="2">
    <mergeCell ref="O22:Q22"/>
    <mergeCell ref="Y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F40F-F68B-45D3-8E04-B91A7482DA1C}">
  <dimension ref="A1:L13"/>
  <sheetViews>
    <sheetView topLeftCell="I1" zoomScale="104" workbookViewId="0">
      <selection activeCell="G3" sqref="G3"/>
    </sheetView>
  </sheetViews>
  <sheetFormatPr defaultRowHeight="15" x14ac:dyDescent="0.25"/>
  <cols>
    <col min="1" max="1" width="11.85546875" customWidth="1"/>
    <col min="2" max="5" width="10.5703125" bestFit="1" customWidth="1"/>
    <col min="6" max="6" width="9.28515625" bestFit="1" customWidth="1"/>
    <col min="8" max="8" width="15.140625" customWidth="1"/>
    <col min="12" max="12" width="22.85546875" customWidth="1"/>
  </cols>
  <sheetData>
    <row r="1" spans="1:12" s="10" customFormat="1" x14ac:dyDescent="0.25">
      <c r="A1" s="12" t="s">
        <v>1</v>
      </c>
      <c r="B1" s="12" t="s">
        <v>2</v>
      </c>
      <c r="C1" s="12" t="s">
        <v>4</v>
      </c>
      <c r="D1" s="12" t="s">
        <v>6</v>
      </c>
      <c r="E1" s="12" t="s">
        <v>8</v>
      </c>
      <c r="F1" s="12" t="s">
        <v>10</v>
      </c>
      <c r="G1" s="14" t="s">
        <v>64</v>
      </c>
      <c r="K1" s="3" t="s">
        <v>0</v>
      </c>
      <c r="L1" s="3" t="s">
        <v>1</v>
      </c>
    </row>
    <row r="2" spans="1:12" s="10" customFormat="1" x14ac:dyDescent="0.25">
      <c r="A2" s="13" t="s">
        <v>2</v>
      </c>
      <c r="B2" s="11">
        <v>1</v>
      </c>
      <c r="C2" s="11">
        <v>3</v>
      </c>
      <c r="D2" s="11">
        <v>5</v>
      </c>
      <c r="E2" s="11">
        <v>7</v>
      </c>
      <c r="F2" s="11">
        <v>9</v>
      </c>
      <c r="G2" s="15">
        <f>AVERAGE(B9:F9)</f>
        <v>0.50281949577049656</v>
      </c>
      <c r="H2" s="15"/>
      <c r="K2" s="4" t="s">
        <v>2</v>
      </c>
      <c r="L2" s="4" t="s">
        <v>58</v>
      </c>
    </row>
    <row r="3" spans="1:12" s="10" customFormat="1" x14ac:dyDescent="0.25">
      <c r="A3" s="13" t="s">
        <v>4</v>
      </c>
      <c r="B3" s="11">
        <f>1/3</f>
        <v>0.33333333333333331</v>
      </c>
      <c r="C3" s="11">
        <v>1</v>
      </c>
      <c r="D3" s="11">
        <v>3</v>
      </c>
      <c r="E3" s="11">
        <v>5</v>
      </c>
      <c r="F3" s="11">
        <v>7</v>
      </c>
      <c r="G3" s="15">
        <f t="shared" ref="G3:G6" si="0">AVERAGE(B10:F10)</f>
        <v>0.26023158778668332</v>
      </c>
      <c r="K3" s="4" t="s">
        <v>4</v>
      </c>
      <c r="L3" s="4" t="s">
        <v>59</v>
      </c>
    </row>
    <row r="4" spans="1:12" s="10" customFormat="1" x14ac:dyDescent="0.25">
      <c r="A4" s="13" t="s">
        <v>6</v>
      </c>
      <c r="B4" s="11">
        <f>1/5</f>
        <v>0.2</v>
      </c>
      <c r="C4" s="11">
        <f>1/3</f>
        <v>0.33333333333333331</v>
      </c>
      <c r="D4" s="11">
        <v>1</v>
      </c>
      <c r="E4" s="11">
        <v>3</v>
      </c>
      <c r="F4" s="11">
        <v>5</v>
      </c>
      <c r="G4" s="15">
        <f t="shared" si="0"/>
        <v>0.13435044057311091</v>
      </c>
      <c r="K4" s="4" t="s">
        <v>6</v>
      </c>
      <c r="L4" s="4" t="s">
        <v>60</v>
      </c>
    </row>
    <row r="5" spans="1:12" s="10" customFormat="1" x14ac:dyDescent="0.25">
      <c r="A5" s="13" t="s">
        <v>8</v>
      </c>
      <c r="B5" s="11">
        <f>1/7</f>
        <v>0.14285714285714285</v>
      </c>
      <c r="C5" s="11">
        <f>1/5</f>
        <v>0.2</v>
      </c>
      <c r="D5" s="11">
        <f>1/3</f>
        <v>0.33333333333333331</v>
      </c>
      <c r="E5" s="11">
        <v>1</v>
      </c>
      <c r="F5" s="11">
        <v>3</v>
      </c>
      <c r="G5" s="15">
        <f t="shared" si="0"/>
        <v>6.777766684747813E-2</v>
      </c>
      <c r="K5" s="4" t="s">
        <v>8</v>
      </c>
      <c r="L5" s="4" t="s">
        <v>61</v>
      </c>
    </row>
    <row r="6" spans="1:12" s="10" customFormat="1" x14ac:dyDescent="0.25">
      <c r="A6" s="13" t="s">
        <v>10</v>
      </c>
      <c r="B6" s="11">
        <f>1/9</f>
        <v>0.1111111111111111</v>
      </c>
      <c r="C6" s="11">
        <f>1/7</f>
        <v>0.14285714285714285</v>
      </c>
      <c r="D6" s="11">
        <f>1/5</f>
        <v>0.2</v>
      </c>
      <c r="E6" s="11">
        <f>1/3</f>
        <v>0.33333333333333331</v>
      </c>
      <c r="F6" s="11">
        <v>1</v>
      </c>
      <c r="G6" s="15">
        <f t="shared" si="0"/>
        <v>3.4820809022231121E-2</v>
      </c>
      <c r="H6" s="14" t="s">
        <v>66</v>
      </c>
      <c r="K6" s="4" t="s">
        <v>10</v>
      </c>
      <c r="L6" s="4" t="s">
        <v>62</v>
      </c>
    </row>
    <row r="7" spans="1:12" x14ac:dyDescent="0.25">
      <c r="A7" s="16" t="s">
        <v>63</v>
      </c>
      <c r="B7" s="17">
        <f>SUM(B2:B6)</f>
        <v>1.7873015873015872</v>
      </c>
      <c r="C7" s="17">
        <f t="shared" ref="C7:F7" si="1">SUM(C2:C6)</f>
        <v>4.6761904761904765</v>
      </c>
      <c r="D7" s="17">
        <f t="shared" si="1"/>
        <v>9.5333333333333332</v>
      </c>
      <c r="E7" s="17">
        <f t="shared" si="1"/>
        <v>16.333333333333332</v>
      </c>
      <c r="F7" s="17">
        <f t="shared" si="1"/>
        <v>25</v>
      </c>
      <c r="H7" s="17">
        <f>SUM(G2:G6)</f>
        <v>1</v>
      </c>
    </row>
    <row r="8" spans="1:12" s="2" customFormat="1" x14ac:dyDescent="0.25"/>
    <row r="9" spans="1:12" x14ac:dyDescent="0.25">
      <c r="A9" s="18" t="s">
        <v>65</v>
      </c>
      <c r="B9" s="19">
        <f>(B2/$B$7)</f>
        <v>0.55950266429840145</v>
      </c>
      <c r="C9" s="19">
        <f>(C2/$C$7)</f>
        <v>0.64154786150712828</v>
      </c>
      <c r="D9" s="19">
        <f>(D2/$D$7)</f>
        <v>0.52447552447552448</v>
      </c>
      <c r="E9" s="19">
        <f>(E2/$E$7)</f>
        <v>0.4285714285714286</v>
      </c>
      <c r="F9" s="19">
        <f>(F2/$F$7)</f>
        <v>0.36</v>
      </c>
    </row>
    <row r="10" spans="1:12" x14ac:dyDescent="0.25">
      <c r="B10" s="19">
        <f t="shared" ref="B10" si="2">(B3/$B$7)</f>
        <v>0.18650088809946713</v>
      </c>
      <c r="C10" s="19">
        <f t="shared" ref="C10:C13" si="3">(C3/$C$7)</f>
        <v>0.21384928716904275</v>
      </c>
      <c r="D10" s="19">
        <f t="shared" ref="D10:D13" si="4">(D3/$D$7)</f>
        <v>0.31468531468531469</v>
      </c>
      <c r="E10" s="19">
        <f t="shared" ref="E10:E13" si="5">(E3/$E$7)</f>
        <v>0.30612244897959184</v>
      </c>
      <c r="F10" s="19">
        <f t="shared" ref="F10:F13" si="6">(F3/$F$7)</f>
        <v>0.28000000000000003</v>
      </c>
    </row>
    <row r="11" spans="1:12" x14ac:dyDescent="0.25">
      <c r="B11" s="19">
        <f t="shared" ref="B11" si="7">(B4/$B$7)</f>
        <v>0.1119005328596803</v>
      </c>
      <c r="C11" s="19">
        <f t="shared" si="3"/>
        <v>7.128309572301425E-2</v>
      </c>
      <c r="D11" s="19">
        <f t="shared" si="4"/>
        <v>0.1048951048951049</v>
      </c>
      <c r="E11" s="19">
        <f t="shared" si="5"/>
        <v>0.18367346938775511</v>
      </c>
      <c r="F11" s="19">
        <f t="shared" si="6"/>
        <v>0.2</v>
      </c>
    </row>
    <row r="12" spans="1:12" x14ac:dyDescent="0.25">
      <c r="B12" s="19">
        <f t="shared" ref="B12" si="8">(B5/$B$7)</f>
        <v>7.9928952042628773E-2</v>
      </c>
      <c r="C12" s="19">
        <f t="shared" si="3"/>
        <v>4.2769857433808553E-2</v>
      </c>
      <c r="D12" s="19">
        <f t="shared" si="4"/>
        <v>3.4965034965034961E-2</v>
      </c>
      <c r="E12" s="19">
        <f t="shared" si="5"/>
        <v>6.1224489795918373E-2</v>
      </c>
      <c r="F12" s="19">
        <f t="shared" si="6"/>
        <v>0.12</v>
      </c>
    </row>
    <row r="13" spans="1:12" x14ac:dyDescent="0.25">
      <c r="B13" s="19">
        <f t="shared" ref="B13" si="9">(B6/$B$7)</f>
        <v>6.216696269982238E-2</v>
      </c>
      <c r="C13" s="19">
        <f t="shared" si="3"/>
        <v>3.0549898167006106E-2</v>
      </c>
      <c r="D13" s="19">
        <f t="shared" si="4"/>
        <v>2.097902097902098E-2</v>
      </c>
      <c r="E13" s="19">
        <f t="shared" si="5"/>
        <v>2.0408163265306124E-2</v>
      </c>
      <c r="F13" s="19">
        <f t="shared" si="6"/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Topsis</vt:lpstr>
      <vt:lpstr>AHP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2026-01-03T14:28:10Z</dcterms:created>
  <dcterms:modified xsi:type="dcterms:W3CDTF">2026-01-04T13:02:39Z</dcterms:modified>
</cp:coreProperties>
</file>